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3461a17aa9e0f/Documents/College Stuff/Thesis/Code/Data/"/>
    </mc:Choice>
  </mc:AlternateContent>
  <xr:revisionPtr revIDLastSave="20" documentId="8_{2564C650-42F4-42C7-B4BE-17F84AF81B65}" xr6:coauthVersionLast="47" xr6:coauthVersionMax="47" xr10:uidLastSave="{25B3C6A0-8E6C-4BC7-B9D4-BAB230427118}"/>
  <bookViews>
    <workbookView xWindow="-110" yWindow="-110" windowWidth="19420" windowHeight="12220" firstSheet="1" activeTab="5" xr2:uid="{7C06D6FA-DD2F-41AB-B0C5-4347028C92C7}"/>
  </bookViews>
  <sheets>
    <sheet name="Chart1" sheetId="4" r:id="rId1"/>
    <sheet name="Chart2-ver1" sheetId="2" r:id="rId2"/>
    <sheet name="Chart2-ver2" sheetId="7" r:id="rId3"/>
    <sheet name="Chart2-ver2b" sheetId="14" r:id="rId4"/>
    <sheet name="Chart2-ver2c" sheetId="17" r:id="rId5"/>
    <sheet name="Chart2-ver2d" sheetId="18" r:id="rId6"/>
    <sheet name="Chart2-ver2e" sheetId="19" r:id="rId7"/>
    <sheet name="Chart3-ver1" sheetId="6" r:id="rId8"/>
    <sheet name="Chart3-ver2" sheetId="9" r:id="rId9"/>
    <sheet name="Chart3-ver3" sheetId="10" r:id="rId10"/>
    <sheet name="Chart4" sheetId="8" r:id="rId11"/>
    <sheet name="Chart5-ver1" sheetId="11" r:id="rId12"/>
    <sheet name="Chart5-ver2" sheetId="13" r:id="rId13"/>
    <sheet name="Chart5-ver3" sheetId="12" r:id="rId14"/>
    <sheet name="data" sheetId="1" r:id="rId15"/>
    <sheet name="data (Allison)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3" i="1"/>
  <c r="J20" i="1"/>
  <c r="J19" i="1"/>
  <c r="J18" i="1"/>
  <c r="K18" i="1" s="1"/>
  <c r="J17" i="1"/>
  <c r="K17" i="1" s="1"/>
  <c r="J16" i="1"/>
  <c r="J15" i="1"/>
  <c r="J14" i="1"/>
  <c r="J13" i="1"/>
  <c r="J12" i="1"/>
  <c r="J11" i="1"/>
  <c r="J10" i="1"/>
  <c r="K10" i="1" s="1"/>
  <c r="J9" i="1"/>
  <c r="K9" i="1" s="1"/>
  <c r="J8" i="1"/>
  <c r="K8" i="1" s="1"/>
  <c r="J7" i="1"/>
  <c r="K7" i="1" s="1"/>
  <c r="J6" i="1"/>
  <c r="J5" i="1"/>
  <c r="J4" i="1"/>
  <c r="J3" i="1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R105" i="15"/>
  <c r="S105" i="15"/>
  <c r="B105" i="15"/>
  <c r="I16" i="1"/>
  <c r="I15" i="1"/>
  <c r="I14" i="1"/>
  <c r="I9" i="1"/>
  <c r="I8" i="1"/>
  <c r="I7" i="1"/>
  <c r="C13" i="15"/>
  <c r="I4" i="1" s="1"/>
  <c r="D13" i="15"/>
  <c r="I5" i="1" s="1"/>
  <c r="E13" i="15"/>
  <c r="I6" i="1" s="1"/>
  <c r="F13" i="15"/>
  <c r="G13" i="15"/>
  <c r="H13" i="15"/>
  <c r="I13" i="15"/>
  <c r="I10" i="1" s="1"/>
  <c r="J13" i="15"/>
  <c r="I11" i="1" s="1"/>
  <c r="K13" i="15"/>
  <c r="I12" i="1" s="1"/>
  <c r="L13" i="15"/>
  <c r="I13" i="1" s="1"/>
  <c r="M13" i="15"/>
  <c r="N13" i="15"/>
  <c r="O13" i="15"/>
  <c r="P13" i="15"/>
  <c r="I17" i="1" s="1"/>
  <c r="Q13" i="15"/>
  <c r="I18" i="1" s="1"/>
  <c r="R13" i="15"/>
  <c r="I19" i="1" s="1"/>
  <c r="S13" i="15"/>
  <c r="I20" i="1" s="1"/>
  <c r="B13" i="15"/>
  <c r="I3" i="1" s="1"/>
  <c r="L7" i="1" l="1"/>
  <c r="K16" i="1"/>
  <c r="K11" i="1"/>
  <c r="L11" i="1" s="1"/>
  <c r="K5" i="1"/>
  <c r="L5" i="1" s="1"/>
  <c r="K13" i="1"/>
  <c r="L13" i="1" s="1"/>
  <c r="K15" i="1"/>
  <c r="K3" i="1"/>
  <c r="K19" i="1"/>
  <c r="K4" i="1"/>
  <c r="L4" i="1" s="1"/>
  <c r="K12" i="1"/>
  <c r="L12" i="1" s="1"/>
  <c r="K20" i="1"/>
  <c r="L20" i="1" s="1"/>
  <c r="K6" i="1"/>
  <c r="L6" i="1" s="1"/>
  <c r="K14" i="1"/>
  <c r="L14" i="1" s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  <c r="E4" i="1"/>
  <c r="E5" i="1"/>
  <c r="E6" i="1"/>
  <c r="E7" i="1"/>
  <c r="G7" i="1" s="1"/>
  <c r="E8" i="1"/>
  <c r="E9" i="1"/>
  <c r="L9" i="1" s="1"/>
  <c r="E10" i="1"/>
  <c r="L10" i="1" s="1"/>
  <c r="E11" i="1"/>
  <c r="E12" i="1"/>
  <c r="G12" i="1" s="1"/>
  <c r="E13" i="1"/>
  <c r="E14" i="1"/>
  <c r="E15" i="1"/>
  <c r="E16" i="1"/>
  <c r="G16" i="1" s="1"/>
  <c r="E17" i="1"/>
  <c r="L17" i="1" s="1"/>
  <c r="E18" i="1"/>
  <c r="L18" i="1" s="1"/>
  <c r="E19" i="1"/>
  <c r="E20" i="1"/>
  <c r="E3" i="1"/>
  <c r="D28" i="1"/>
  <c r="D24" i="1"/>
  <c r="D23" i="1"/>
  <c r="G9" i="1" l="1"/>
  <c r="L16" i="1"/>
  <c r="L19" i="1"/>
  <c r="L3" i="1"/>
  <c r="L15" i="1"/>
  <c r="L8" i="1"/>
  <c r="G8" i="1"/>
  <c r="G17" i="1"/>
  <c r="G13" i="1"/>
  <c r="G5" i="1"/>
  <c r="G14" i="1"/>
  <c r="G11" i="1"/>
  <c r="G10" i="1"/>
  <c r="G15" i="1"/>
  <c r="G19" i="1"/>
  <c r="G18" i="1"/>
  <c r="G4" i="1"/>
  <c r="G20" i="1"/>
  <c r="G6" i="1"/>
  <c r="D25" i="1"/>
</calcChain>
</file>

<file path=xl/sharedStrings.xml><?xml version="1.0" encoding="utf-8"?>
<sst xmlns="http://schemas.openxmlformats.org/spreadsheetml/2006/main" count="149" uniqueCount="72">
  <si>
    <t>Layer #</t>
  </si>
  <si>
    <t>Kmax</t>
  </si>
  <si>
    <t>x</t>
  </si>
  <si>
    <t>Chart3, O:Si intersection =</t>
  </si>
  <si>
    <t>Kmax (when x = 1) =</t>
  </si>
  <si>
    <t>XPS Si 2p</t>
  </si>
  <si>
    <t>XPS data =</t>
  </si>
  <si>
    <t>R. Alfonsetti, L. Lozzi, M. Passacantando, P. Picozzi, and S. Santucci. XPS studies on SiOx thin films. Appl. Surf. Sci. 1993, 70/71, 222-225.</t>
  </si>
  <si>
    <t>eV</t>
  </si>
  <si>
    <t>xtheor</t>
  </si>
  <si>
    <t>eVtheor</t>
  </si>
  <si>
    <t>density (g/cm3)</t>
  </si>
  <si>
    <t>SiO</t>
  </si>
  <si>
    <t>Si2O3</t>
  </si>
  <si>
    <t>SiO2 (silica)</t>
  </si>
  <si>
    <t>https://en.wikipedia.org/wiki/Silicon_monoxide</t>
  </si>
  <si>
    <t>Molar mass (g/mol)</t>
  </si>
  <si>
    <t>https://en.wikipedia.org/wiki/Silicon_dioxide</t>
  </si>
  <si>
    <t>form</t>
  </si>
  <si>
    <t>amorphous</t>
  </si>
  <si>
    <t>alpha-quartz</t>
  </si>
  <si>
    <t>crystal</t>
  </si>
  <si>
    <t>Refs</t>
  </si>
  <si>
    <t>https://legacy.materialsproject.org/materials/mp-1179195/</t>
  </si>
  <si>
    <t>d (cm) (e-9)</t>
  </si>
  <si>
    <t>d (nm)</t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</si>
  <si>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Aptos Narrow"/>
        <family val="2"/>
        <scheme val="minor"/>
      </rPr>
      <t>d (nm)</t>
    </r>
  </si>
  <si>
    <r>
      <rPr>
        <b/>
        <sz val="11"/>
        <color theme="1"/>
        <rFont val="Symbol"/>
        <family val="1"/>
        <charset val="2"/>
      </rPr>
      <t>D</t>
    </r>
    <r>
      <rPr>
        <b/>
        <sz val="11"/>
        <color theme="1"/>
        <rFont val="Aptos Narrow"/>
        <family val="2"/>
        <scheme val="minor"/>
      </rPr>
      <t>x</t>
    </r>
  </si>
  <si>
    <r>
      <t>2960 cm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</si>
  <si>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</si>
  <si>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</si>
  <si>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</si>
  <si>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</si>
  <si>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</si>
  <si>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</si>
  <si>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</si>
  <si>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</si>
  <si>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</si>
  <si>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</si>
  <si>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</si>
  <si>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</si>
  <si>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</si>
  <si>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</si>
  <si>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</si>
  <si>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</si>
  <si>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</si>
  <si>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</si>
  <si>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20230911-SAGA-AuSlide22-(1st)UVO3(125C,15min)-coadds=256,gain=8,res=4,vel=1p89</t>
  </si>
  <si>
    <t>20230911-SAGA-AuSlide22-(2nd)UVO3(125C,15min)-coadds-256,gain=8,res=4,vel=1p89</t>
  </si>
  <si>
    <t>20230911-SAGA-AuSlide22-(3rd)UVO3(125C,15min)-coadds=256,gain=8,res=4,vel=1p89</t>
  </si>
  <si>
    <t>20230914-SAGA-AuSlide22-(4th)UVO3(125C,15min)-coadds=256,gain=8,res=4,vel=1p89</t>
  </si>
  <si>
    <t>20230914-SAGA-AuSlide22-(5th)UVO3(125C,15min)-coadds=256,gain=8,res=4,vel=1p89</t>
  </si>
  <si>
    <t>20230914-SAGA-AuSlide22-(6th)UVO3(125C,15min)-coadds=256,gain=8,res=4,vel=1p89</t>
  </si>
  <si>
    <t>20230919-SAGA-AuSlide22-(7th)UVO3(125C,15min)-coadds=256,gain=8,res=4,vel=1p89</t>
  </si>
  <si>
    <t>20230919-SAGA-AuSlide22-(8th)UVO3(125C,15min)-coadds=256,gain=8,res=4,vel=1p89</t>
  </si>
  <si>
    <t>20230919-SAGA-AuSlide22-(9th)UVO3(125C,15min)-coadds=256,gain=8,res=4,vel=1p89</t>
  </si>
  <si>
    <t>20230919-SAGA-AuSlide22-(10th)UVO3(125C,15min)-coadds=256,gain=8,res=4,vel=1p89</t>
  </si>
  <si>
    <t>20230925-SAGA-AuSlide22-(11th)UVO3(125C,15min)-coadds=256,gain=8,res=4,vel=1p89</t>
  </si>
  <si>
    <t>20230925-SAGA-AuSlide22-(12th)UVO3(125C,15min)-coadds=256,gain=8,res=4,vel=1p89</t>
  </si>
  <si>
    <t>20230925-SAGA-AuSlide22-(13th)UVO3(125C,15min)-coadds=256,gain=8,res=4,vel=1p89</t>
  </si>
  <si>
    <t>20230925-SAGA-AuSlide22-(14th)UVO3(125C,15min)-coadds=256,gain=8,res=4,vel=1p89</t>
  </si>
  <si>
    <t>20230925-SAGA-AuSlide22-(15th)UVO3(125C,15min)-coadds=256,gain=8,res=4,vel=1p89</t>
  </si>
  <si>
    <t>20230926-SAGA-AuSlide22-(16th)UVO3(125C,15min)-coadds=256,gain=8,res=4,vel=1p89</t>
  </si>
  <si>
    <t>20230926-SAGA-AuSlide22-(17th)UVO3(125C,15min)-coadds=256,gain=8,res=4,vel=1p89</t>
  </si>
  <si>
    <t>20230926-SAGA-AuSlide22-(18th)UVO3(125C,15min)-coadds=256,gain=8,res=4,vel=1p89</t>
  </si>
  <si>
    <t>Wavenumber</t>
  </si>
  <si>
    <t>Abs</t>
  </si>
  <si>
    <t>AVG Intensity</t>
  </si>
  <si>
    <r>
      <t>3420-3460 cm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</si>
  <si>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t>Intensity Diff</t>
  </si>
  <si>
    <t>Intensity Diff/d(nm)</t>
  </si>
  <si>
    <t>d(microm)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</si>
</sst>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theme="1"/>
      <name val="Aptos Narrow"/>
      <family val="1"/>
      <charset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3" fillId="0" borderId="0" xfId="0" applyFont="1" applyAlignment="1">
      <alignment horizontal="center"/>
    </xf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21" Type="http://schemas.openxmlformats.org/officeDocument/2006/relationships/calcChain" Target="calcChain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2.xml"/><Relationship Id="rId20" Type="http://schemas.microsoft.com/office/2017/10/relationships/person" Target="persons/perso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1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5072846560917"/>
          <c:y val="6.2626262626262627E-2"/>
          <c:w val="0.75499460624677583"/>
          <c:h val="0.81213457408733003"/>
        </c:manualLayout>
      </c:layout>
      <c:scatterChart>
        <c:scatterStyle val="lineMarker"/>
        <c:varyColors val="0"/>
        <c:ser>
          <c:idx val="0"/>
          <c:order val="0"/>
          <c:tx>
            <c:v>LO Peak Position (cm-1)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  <c:extLst xmlns:c15="http://schemas.microsoft.com/office/drawing/2012/chart"/>
            </c:numRef>
          </c:xVal>
          <c:yVal>
            <c:numRef>
              <c:f>data!$B$3:$B$20</c:f>
              <c:numCache>
                <c:formatCode>General</c:formatCode>
                <c:ptCount val="18"/>
                <c:pt idx="0">
                  <c:v>1144</c:v>
                </c:pt>
                <c:pt idx="1">
                  <c:v>1182</c:v>
                </c:pt>
                <c:pt idx="2">
                  <c:v>1192</c:v>
                </c:pt>
                <c:pt idx="3">
                  <c:v>1217</c:v>
                </c:pt>
                <c:pt idx="4">
                  <c:v>1220</c:v>
                </c:pt>
                <c:pt idx="5">
                  <c:v>1228</c:v>
                </c:pt>
                <c:pt idx="6">
                  <c:v>1235</c:v>
                </c:pt>
                <c:pt idx="7">
                  <c:v>1234</c:v>
                </c:pt>
                <c:pt idx="8">
                  <c:v>1236</c:v>
                </c:pt>
                <c:pt idx="9">
                  <c:v>1237</c:v>
                </c:pt>
                <c:pt idx="10">
                  <c:v>1239</c:v>
                </c:pt>
                <c:pt idx="11">
                  <c:v>1239</c:v>
                </c:pt>
                <c:pt idx="12">
                  <c:v>1239</c:v>
                </c:pt>
                <c:pt idx="13">
                  <c:v>1239</c:v>
                </c:pt>
                <c:pt idx="14">
                  <c:v>1238</c:v>
                </c:pt>
                <c:pt idx="15">
                  <c:v>1238</c:v>
                </c:pt>
                <c:pt idx="16">
                  <c:v>1238</c:v>
                </c:pt>
                <c:pt idx="17">
                  <c:v>1237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2-97A1-4A81-9AE3-CAADC2A9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v>Film Thickness (nm)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data!$D$3:$D$20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16.5</c:v>
                      </c:pt>
                      <c:pt idx="1">
                        <c:v>26</c:v>
                      </c:pt>
                      <c:pt idx="2">
                        <c:v>37</c:v>
                      </c:pt>
                      <c:pt idx="3">
                        <c:v>46</c:v>
                      </c:pt>
                      <c:pt idx="4">
                        <c:v>45</c:v>
                      </c:pt>
                      <c:pt idx="5">
                        <c:v>47.5</c:v>
                      </c:pt>
                      <c:pt idx="6">
                        <c:v>48</c:v>
                      </c:pt>
                      <c:pt idx="7">
                        <c:v>49</c:v>
                      </c:pt>
                      <c:pt idx="8">
                        <c:v>54</c:v>
                      </c:pt>
                      <c:pt idx="9">
                        <c:v>58</c:v>
                      </c:pt>
                      <c:pt idx="10">
                        <c:v>65</c:v>
                      </c:pt>
                      <c:pt idx="11">
                        <c:v>69</c:v>
                      </c:pt>
                      <c:pt idx="12">
                        <c:v>76</c:v>
                      </c:pt>
                      <c:pt idx="13">
                        <c:v>78</c:v>
                      </c:pt>
                      <c:pt idx="14">
                        <c:v>85</c:v>
                      </c:pt>
                      <c:pt idx="15">
                        <c:v>92</c:v>
                      </c:pt>
                      <c:pt idx="16">
                        <c:v>98</c:v>
                      </c:pt>
                      <c:pt idx="17">
                        <c:v>105.5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97A1-4A81-9AE3-CAADC2A977A6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1"/>
          <c:order val="1"/>
          <c:tx>
            <c:v>O:Si Stoichiometric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A1-4A81-9AE3-CAADC2A97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298511"/>
        <c:axId val="823298031"/>
        <c:extLst/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Cycle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LO Peak Position (cm</a:t>
                </a:r>
                <a:r>
                  <a:rPr lang="en-US" sz="1800" b="1" i="0" baseline="30000">
                    <a:solidFill>
                      <a:schemeClr val="tx1"/>
                    </a:solidFill>
                    <a:sym typeface="Symbol" panose="05050102010706020507" pitchFamily="18" charset="2"/>
                  </a:rPr>
                  <a:t>1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valAx>
        <c:axId val="823298031"/>
        <c:scaling>
          <c:orientation val="minMax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O:Si Stoichiometric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98511"/>
        <c:crosses val="max"/>
        <c:crossBetween val="midCat"/>
      </c:valAx>
      <c:valAx>
        <c:axId val="82329851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23298031"/>
        <c:crosses val="max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45283852542952"/>
          <c:y val="8.7120973514674308E-2"/>
          <c:w val="0.28002754561650872"/>
          <c:h val="0.10479821840451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5072846560917"/>
          <c:y val="6.2626262626262627E-2"/>
          <c:w val="0.75499460624677583"/>
          <c:h val="0.81213457408733003"/>
        </c:manualLayout>
      </c:layout>
      <c:scatterChart>
        <c:scatterStyle val="lineMarker"/>
        <c:varyColors val="0"/>
        <c:ser>
          <c:idx val="2"/>
          <c:order val="2"/>
          <c:tx>
            <c:v>Film Thickness (nm)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B5-4769-87FA-4048794C5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</c:scatterChart>
      <c:scatterChart>
        <c:scatterStyle val="lineMarker"/>
        <c:varyColors val="0"/>
        <c:ser>
          <c:idx val="1"/>
          <c:order val="1"/>
          <c:tx>
            <c:v>O:Si Stoichiometric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B5-4769-87FA-4048794C5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298511"/>
        <c:axId val="823298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LO Peak Position (cm-1)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73B5-4769-87FA-4048794C565F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Cycle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Film 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valAx>
        <c:axId val="823298031"/>
        <c:scaling>
          <c:orientation val="minMax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O:Si Stoichiometric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98511"/>
        <c:crosses val="max"/>
        <c:crossBetween val="midCat"/>
      </c:valAx>
      <c:valAx>
        <c:axId val="82329851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23298031"/>
        <c:crosses val="max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751950522289232"/>
          <c:y val="8.510077149447226E-2"/>
          <c:w val="0.51299843393196654"/>
          <c:h val="4.6425091547252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5072846560917"/>
          <c:y val="6.2626262626262627E-2"/>
          <c:w val="0.75499460624677583"/>
          <c:h val="0.81213457408733003"/>
        </c:manualLayout>
      </c:layout>
      <c:scatterChart>
        <c:scatterStyle val="lineMarker"/>
        <c:varyColors val="0"/>
        <c:ser>
          <c:idx val="2"/>
          <c:order val="2"/>
          <c:tx>
            <c:v>Film Thickness (nm)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4F-4196-9BB1-CD77F4205D8A}"/>
            </c:ext>
          </c:extLst>
        </c:ser>
        <c:ser>
          <c:idx val="3"/>
          <c:order val="3"/>
          <c:tx>
            <c:v>Film Thickness O:Si &lt; 1.5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040700115058269"/>
                  <c:y val="0.13674938359977737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data!$A$3:$A$6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data!$E$3:$E$6</c:f>
              <c:numCache>
                <c:formatCode>General</c:formatCode>
                <c:ptCount val="4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4F-4196-9BB1-CD77F4205D8A}"/>
            </c:ext>
          </c:extLst>
        </c:ser>
        <c:ser>
          <c:idx val="4"/>
          <c:order val="4"/>
          <c:tx>
            <c:v>Film Thickness O:Si &gt; 1.5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644094050980643E-2"/>
                  <c:y val="0.22832275511015668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data!$A$10:$A$20</c:f>
              <c:numCache>
                <c:formatCode>General</c:formatCode>
                <c:ptCount val="11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18</c:v>
                </c:pt>
              </c:numCache>
            </c:numRef>
          </c:xVal>
          <c:yVal>
            <c:numRef>
              <c:f>data!$E$10:$E$20</c:f>
              <c:numCache>
                <c:formatCode>General</c:formatCode>
                <c:ptCount val="11"/>
                <c:pt idx="0">
                  <c:v>0.49</c:v>
                </c:pt>
                <c:pt idx="1">
                  <c:v>0.54</c:v>
                </c:pt>
                <c:pt idx="2">
                  <c:v>0.57999999999999996</c:v>
                </c:pt>
                <c:pt idx="3">
                  <c:v>0.65</c:v>
                </c:pt>
                <c:pt idx="4">
                  <c:v>0.69</c:v>
                </c:pt>
                <c:pt idx="5">
                  <c:v>0.76</c:v>
                </c:pt>
                <c:pt idx="6">
                  <c:v>0.78</c:v>
                </c:pt>
                <c:pt idx="7">
                  <c:v>0.85</c:v>
                </c:pt>
                <c:pt idx="8">
                  <c:v>0.92</c:v>
                </c:pt>
                <c:pt idx="9">
                  <c:v>0.98</c:v>
                </c:pt>
                <c:pt idx="10">
                  <c:v>1.0549999999999999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4F-4196-9BB1-CD77F4205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</c:scatterChart>
      <c:scatterChart>
        <c:scatterStyle val="lineMarker"/>
        <c:varyColors val="0"/>
        <c:ser>
          <c:idx val="1"/>
          <c:order val="1"/>
          <c:tx>
            <c:v>O:Si Stoichiometric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4F-4196-9BB1-CD77F4205D8A}"/>
            </c:ext>
          </c:extLst>
        </c:ser>
        <c:ser>
          <c:idx val="5"/>
          <c:order val="5"/>
          <c:tx>
            <c:v>O:Si Stoichiometric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844769046517577E-2"/>
                  <c:y val="9.40269514728983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data!$A$3:$A$10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xVal>
          <c:yVal>
            <c:numRef>
              <c:f>data!$C$3:$C$10</c:f>
              <c:numCache>
                <c:formatCode>General</c:formatCode>
                <c:ptCount val="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15-4B5B-A8C3-7791755F4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298511"/>
        <c:axId val="82329803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LO Peak Position (cm-1)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F24F-4196-9BB1-CD77F4205D8A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Cycle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Film 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valAx>
        <c:axId val="823298031"/>
        <c:scaling>
          <c:orientation val="minMax"/>
          <c:min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O:Si Stoichiometric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298511"/>
        <c:crosses val="max"/>
        <c:crossBetween val="midCat"/>
      </c:valAx>
      <c:valAx>
        <c:axId val="823298511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823298031"/>
        <c:crosses val="max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9252366415597149"/>
          <c:y val="0.46999934446760161"/>
          <c:w val="0.37230589667090502"/>
          <c:h val="0.379146222482592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5072846560917"/>
          <c:y val="6.2626262626262627E-2"/>
          <c:w val="0.75499460624677583"/>
          <c:h val="0.81213457408733003"/>
        </c:manualLayout>
      </c:layout>
      <c:scatterChart>
        <c:scatterStyle val="lineMarker"/>
        <c:varyColors val="0"/>
        <c:ser>
          <c:idx val="2"/>
          <c:order val="2"/>
          <c:tx>
            <c:v>Film Thickness (nm)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E8-459A-AA60-5AEEACAD93E5}"/>
            </c:ext>
          </c:extLst>
        </c:ser>
        <c:ser>
          <c:idx val="3"/>
          <c:order val="3"/>
          <c:tx>
            <c:v>Changes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data!$A$4:$A$20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</c:numCache>
            </c:numRef>
          </c:xVal>
          <c:yVal>
            <c:numRef>
              <c:f>data!$G$4:$G$20</c:f>
              <c:numCache>
                <c:formatCode>General</c:formatCode>
                <c:ptCount val="17"/>
                <c:pt idx="0">
                  <c:v>9.5000000000000001E-2</c:v>
                </c:pt>
                <c:pt idx="1">
                  <c:v>0.10999999999999999</c:v>
                </c:pt>
                <c:pt idx="2">
                  <c:v>9.0000000000000024E-2</c:v>
                </c:pt>
                <c:pt idx="3">
                  <c:v>-1.0000000000000009E-2</c:v>
                </c:pt>
                <c:pt idx="4">
                  <c:v>2.4999999999999967E-2</c:v>
                </c:pt>
                <c:pt idx="5">
                  <c:v>5.0000000000000044E-3</c:v>
                </c:pt>
                <c:pt idx="6">
                  <c:v>1.0000000000000009E-2</c:v>
                </c:pt>
                <c:pt idx="7">
                  <c:v>5.0000000000000044E-2</c:v>
                </c:pt>
                <c:pt idx="8">
                  <c:v>3.9999999999999925E-2</c:v>
                </c:pt>
                <c:pt idx="9">
                  <c:v>7.0000000000000062E-2</c:v>
                </c:pt>
                <c:pt idx="10">
                  <c:v>3.9999999999999925E-2</c:v>
                </c:pt>
                <c:pt idx="11">
                  <c:v>7.0000000000000062E-2</c:v>
                </c:pt>
                <c:pt idx="12">
                  <c:v>2.0000000000000018E-2</c:v>
                </c:pt>
                <c:pt idx="13">
                  <c:v>6.9999999999999951E-2</c:v>
                </c:pt>
                <c:pt idx="14">
                  <c:v>7.0000000000000062E-2</c:v>
                </c:pt>
                <c:pt idx="15">
                  <c:v>5.9999999999999942E-2</c:v>
                </c:pt>
                <c:pt idx="16">
                  <c:v>7.4999999999999956E-2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E8-459A-AA60-5AEEACAD9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LO Peak Position (cm-1)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8E8-459A-AA60-5AEEACAD93E5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O:Si Stoichiometric Ratio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data!$C$3:$C$20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1.25</c:v>
                      </c:pt>
                      <c:pt idx="1">
                        <c:v>1.375</c:v>
                      </c:pt>
                      <c:pt idx="2">
                        <c:v>1.4</c:v>
                      </c:pt>
                      <c:pt idx="3">
                        <c:v>1.6</c:v>
                      </c:pt>
                      <c:pt idx="4">
                        <c:v>1.675</c:v>
                      </c:pt>
                      <c:pt idx="5">
                        <c:v>1.7749999999999999</c:v>
                      </c:pt>
                      <c:pt idx="6">
                        <c:v>1.95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2.0499999999999998</c:v>
                      </c:pt>
                      <c:pt idx="11">
                        <c:v>2.0499999999999998</c:v>
                      </c:pt>
                      <c:pt idx="12">
                        <c:v>2</c:v>
                      </c:pt>
                      <c:pt idx="13">
                        <c:v>2.0499999999999998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48E8-459A-AA60-5AEEACAD93E5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Cycle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At val="-2.0000000000000004E-2"/>
        <c:crossBetween val="midCat"/>
      </c:valAx>
      <c:valAx>
        <c:axId val="702173151"/>
        <c:scaling>
          <c:orientation val="minMax"/>
          <c:max val="0.2"/>
          <c:min val="-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Change in Film 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  <c:majorUnit val="2.0000000000000004E-2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751950522289232"/>
          <c:y val="8.510077149447226E-2"/>
          <c:w val="0.22493529350386482"/>
          <c:h val="0.12137270079188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2007115636949"/>
          <c:y val="6.4651922663764669E-2"/>
          <c:w val="0.75499460624677583"/>
          <c:h val="0.81213457408733003"/>
        </c:manualLayout>
      </c:layout>
      <c:scatterChart>
        <c:scatterStyle val="lineMarker"/>
        <c:varyColors val="0"/>
        <c:ser>
          <c:idx val="4"/>
          <c:order val="4"/>
          <c:tx>
            <c:v>OH Intensity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438367466414025"/>
                  <c:y val="0.10248124595176844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data!$A$3:$A$20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data!$K$3:$K$20</c:f>
              <c:numCache>
                <c:formatCode>0.00E+00</c:formatCode>
                <c:ptCount val="18"/>
                <c:pt idx="0">
                  <c:v>7.7266164852941139E-4</c:v>
                </c:pt>
                <c:pt idx="1">
                  <c:v>1.0096776779411763E-3</c:v>
                </c:pt>
                <c:pt idx="2">
                  <c:v>1.0206691250000013E-3</c:v>
                </c:pt>
                <c:pt idx="3">
                  <c:v>1.2315415770588235E-3</c:v>
                </c:pt>
                <c:pt idx="4">
                  <c:v>1.1349870198529414E-3</c:v>
                </c:pt>
                <c:pt idx="5">
                  <c:v>1.1527387577941178E-3</c:v>
                </c:pt>
                <c:pt idx="6">
                  <c:v>1.3488786301611765E-3</c:v>
                </c:pt>
                <c:pt idx="7">
                  <c:v>1.5759096720588247E-3</c:v>
                </c:pt>
                <c:pt idx="8">
                  <c:v>1.3871646139705875E-3</c:v>
                </c:pt>
                <c:pt idx="9">
                  <c:v>1.4994072602941173E-3</c:v>
                </c:pt>
                <c:pt idx="10">
                  <c:v>1.6301467872058828E-3</c:v>
                </c:pt>
                <c:pt idx="11">
                  <c:v>1.6033543647058824E-3</c:v>
                </c:pt>
                <c:pt idx="12">
                  <c:v>1.7050753595588238E-3</c:v>
                </c:pt>
                <c:pt idx="13">
                  <c:v>1.8301262286764689E-3</c:v>
                </c:pt>
                <c:pt idx="14">
                  <c:v>1.9000818022058825E-3</c:v>
                </c:pt>
                <c:pt idx="15">
                  <c:v>2.1723520735294115E-3</c:v>
                </c:pt>
                <c:pt idx="16">
                  <c:v>2.0621754691176474E-3</c:v>
                </c:pt>
                <c:pt idx="17">
                  <c:v>2.1643174891176481E-3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76E-473F-B41A-0C5132B24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LO Peak Position (cm-1)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76E-473F-B41A-0C5132B246A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O:Si Stoichiometric Ratio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data!$C$3:$C$20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1.25</c:v>
                      </c:pt>
                      <c:pt idx="1">
                        <c:v>1.375</c:v>
                      </c:pt>
                      <c:pt idx="2">
                        <c:v>1.4</c:v>
                      </c:pt>
                      <c:pt idx="3">
                        <c:v>1.6</c:v>
                      </c:pt>
                      <c:pt idx="4">
                        <c:v>1.675</c:v>
                      </c:pt>
                      <c:pt idx="5">
                        <c:v>1.7749999999999999</c:v>
                      </c:pt>
                      <c:pt idx="6">
                        <c:v>1.95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2.0499999999999998</c:v>
                      </c:pt>
                      <c:pt idx="11">
                        <c:v>2.0499999999999998</c:v>
                      </c:pt>
                      <c:pt idx="12">
                        <c:v>2</c:v>
                      </c:pt>
                      <c:pt idx="13">
                        <c:v>2.0499999999999998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76E-473F-B41A-0C5132B246AF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Film Thickness (nm)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data!$E$3:$E$20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0.16500000000000001</c:v>
                      </c:pt>
                      <c:pt idx="1">
                        <c:v>0.26</c:v>
                      </c:pt>
                      <c:pt idx="2">
                        <c:v>0.37</c:v>
                      </c:pt>
                      <c:pt idx="3">
                        <c:v>0.46</c:v>
                      </c:pt>
                      <c:pt idx="4">
                        <c:v>0.45</c:v>
                      </c:pt>
                      <c:pt idx="5">
                        <c:v>0.47499999999999998</c:v>
                      </c:pt>
                      <c:pt idx="6">
                        <c:v>0.48</c:v>
                      </c:pt>
                      <c:pt idx="7">
                        <c:v>0.49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0.65</c:v>
                      </c:pt>
                      <c:pt idx="11">
                        <c:v>0.69</c:v>
                      </c:pt>
                      <c:pt idx="12">
                        <c:v>0.76</c:v>
                      </c:pt>
                      <c:pt idx="13">
                        <c:v>0.78</c:v>
                      </c:pt>
                      <c:pt idx="14">
                        <c:v>0.85</c:v>
                      </c:pt>
                      <c:pt idx="15">
                        <c:v>0.92</c:v>
                      </c:pt>
                      <c:pt idx="16">
                        <c:v>0.98</c:v>
                      </c:pt>
                      <c:pt idx="17">
                        <c:v>1.0549999999999999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76E-473F-B41A-0C5132B246A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Changes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data!$A$4:$A$20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data!$G$4:$G$20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9.5000000000000001E-2</c:v>
                      </c:pt>
                      <c:pt idx="1">
                        <c:v>0.10999999999999999</c:v>
                      </c:pt>
                      <c:pt idx="2">
                        <c:v>9.0000000000000024E-2</c:v>
                      </c:pt>
                      <c:pt idx="3">
                        <c:v>-1.0000000000000009E-2</c:v>
                      </c:pt>
                      <c:pt idx="4">
                        <c:v>2.4999999999999967E-2</c:v>
                      </c:pt>
                      <c:pt idx="5">
                        <c:v>5.0000000000000044E-3</c:v>
                      </c:pt>
                      <c:pt idx="6">
                        <c:v>1.0000000000000009E-2</c:v>
                      </c:pt>
                      <c:pt idx="7">
                        <c:v>5.0000000000000044E-2</c:v>
                      </c:pt>
                      <c:pt idx="8">
                        <c:v>3.9999999999999925E-2</c:v>
                      </c:pt>
                      <c:pt idx="9">
                        <c:v>7.0000000000000062E-2</c:v>
                      </c:pt>
                      <c:pt idx="10">
                        <c:v>3.9999999999999925E-2</c:v>
                      </c:pt>
                      <c:pt idx="11">
                        <c:v>7.0000000000000062E-2</c:v>
                      </c:pt>
                      <c:pt idx="12">
                        <c:v>2.0000000000000018E-2</c:v>
                      </c:pt>
                      <c:pt idx="13">
                        <c:v>6.9999999999999951E-2</c:v>
                      </c:pt>
                      <c:pt idx="14">
                        <c:v>7.0000000000000062E-2</c:v>
                      </c:pt>
                      <c:pt idx="15">
                        <c:v>5.9999999999999942E-2</c:v>
                      </c:pt>
                      <c:pt idx="16">
                        <c:v>7.4999999999999956E-2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76E-473F-B41A-0C5132B246AF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Cycle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At val="-2.0000000000000004E-2"/>
        <c:crossBetween val="midCat"/>
      </c:valAx>
      <c:valAx>
        <c:axId val="702173151"/>
        <c:scaling>
          <c:orientation val="minMax"/>
          <c:max val="2.5000000000000005E-3"/>
          <c:min val="5.0000000000000012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OH Intensity (3440 cm</a:t>
                </a:r>
                <a:r>
                  <a:rPr lang="en-US" sz="1800" b="1" i="0" baseline="30000">
                    <a:solidFill>
                      <a:schemeClr val="tx1"/>
                    </a:solidFill>
                  </a:rPr>
                  <a:t>-1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, relative to bkg 2960 cm</a:t>
                </a:r>
                <a:r>
                  <a:rPr lang="en-US" sz="1800" b="1" i="0" baseline="30000">
                    <a:solidFill>
                      <a:schemeClr val="tx1"/>
                    </a:solidFill>
                  </a:rPr>
                  <a:t>-1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  <c:majorUnit val="1.0000000000000002E-3"/>
        <c:minorUnit val="1.0000000000000003E-4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9201820092394317"/>
          <c:y val="8.9151927687918089E-2"/>
          <c:w val="0.28934919069556136"/>
          <c:h val="9.7065368063897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2007115636949"/>
          <c:y val="6.4651922663764669E-2"/>
          <c:w val="0.75499460624677583"/>
          <c:h val="0.81213457408733003"/>
        </c:manualLayout>
      </c:layout>
      <c:scatterChart>
        <c:scatterStyle val="lineMarker"/>
        <c:varyColors val="0"/>
        <c:ser>
          <c:idx val="4"/>
          <c:order val="4"/>
          <c:tx>
            <c:v>OH Intensity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438367466414025"/>
                  <c:y val="0.10248124595176844"/>
                </c:manualLayout>
              </c:layout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xVal>
          <c:yVal>
            <c:numRef>
              <c:f>data!$K$3:$K$20</c:f>
              <c:numCache>
                <c:formatCode>0.00E+00</c:formatCode>
                <c:ptCount val="18"/>
                <c:pt idx="0">
                  <c:v>7.7266164852941139E-4</c:v>
                </c:pt>
                <c:pt idx="1">
                  <c:v>1.0096776779411763E-3</c:v>
                </c:pt>
                <c:pt idx="2">
                  <c:v>1.0206691250000013E-3</c:v>
                </c:pt>
                <c:pt idx="3">
                  <c:v>1.2315415770588235E-3</c:v>
                </c:pt>
                <c:pt idx="4">
                  <c:v>1.1349870198529414E-3</c:v>
                </c:pt>
                <c:pt idx="5">
                  <c:v>1.1527387577941178E-3</c:v>
                </c:pt>
                <c:pt idx="6">
                  <c:v>1.3488786301611765E-3</c:v>
                </c:pt>
                <c:pt idx="7">
                  <c:v>1.5759096720588247E-3</c:v>
                </c:pt>
                <c:pt idx="8">
                  <c:v>1.3871646139705875E-3</c:v>
                </c:pt>
                <c:pt idx="9">
                  <c:v>1.4994072602941173E-3</c:v>
                </c:pt>
                <c:pt idx="10">
                  <c:v>1.6301467872058828E-3</c:v>
                </c:pt>
                <c:pt idx="11">
                  <c:v>1.6033543647058824E-3</c:v>
                </c:pt>
                <c:pt idx="12">
                  <c:v>1.7050753595588238E-3</c:v>
                </c:pt>
                <c:pt idx="13">
                  <c:v>1.8301262286764689E-3</c:v>
                </c:pt>
                <c:pt idx="14">
                  <c:v>1.9000818022058825E-3</c:v>
                </c:pt>
                <c:pt idx="15">
                  <c:v>2.1723520735294115E-3</c:v>
                </c:pt>
                <c:pt idx="16">
                  <c:v>2.0621754691176474E-3</c:v>
                </c:pt>
                <c:pt idx="17">
                  <c:v>2.1643174891176481E-3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C-4393-BA15-9194B6C0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LO Peak Position (cm-1)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764C-4393-BA15-9194B6C04B4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O:Si Stoichiometric Ratio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data!$C$3:$C$20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1.25</c:v>
                      </c:pt>
                      <c:pt idx="1">
                        <c:v>1.375</c:v>
                      </c:pt>
                      <c:pt idx="2">
                        <c:v>1.4</c:v>
                      </c:pt>
                      <c:pt idx="3">
                        <c:v>1.6</c:v>
                      </c:pt>
                      <c:pt idx="4">
                        <c:v>1.675</c:v>
                      </c:pt>
                      <c:pt idx="5">
                        <c:v>1.7749999999999999</c:v>
                      </c:pt>
                      <c:pt idx="6">
                        <c:v>1.95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2.0499999999999998</c:v>
                      </c:pt>
                      <c:pt idx="11">
                        <c:v>2.0499999999999998</c:v>
                      </c:pt>
                      <c:pt idx="12">
                        <c:v>2</c:v>
                      </c:pt>
                      <c:pt idx="13">
                        <c:v>2.0499999999999998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64C-4393-BA15-9194B6C04B4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Film Thickness (nm)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data!$E$3:$E$20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0.16500000000000001</c:v>
                      </c:pt>
                      <c:pt idx="1">
                        <c:v>0.26</c:v>
                      </c:pt>
                      <c:pt idx="2">
                        <c:v>0.37</c:v>
                      </c:pt>
                      <c:pt idx="3">
                        <c:v>0.46</c:v>
                      </c:pt>
                      <c:pt idx="4">
                        <c:v>0.45</c:v>
                      </c:pt>
                      <c:pt idx="5">
                        <c:v>0.47499999999999998</c:v>
                      </c:pt>
                      <c:pt idx="6">
                        <c:v>0.48</c:v>
                      </c:pt>
                      <c:pt idx="7">
                        <c:v>0.49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0.65</c:v>
                      </c:pt>
                      <c:pt idx="11">
                        <c:v>0.69</c:v>
                      </c:pt>
                      <c:pt idx="12">
                        <c:v>0.76</c:v>
                      </c:pt>
                      <c:pt idx="13">
                        <c:v>0.78</c:v>
                      </c:pt>
                      <c:pt idx="14">
                        <c:v>0.85</c:v>
                      </c:pt>
                      <c:pt idx="15">
                        <c:v>0.92</c:v>
                      </c:pt>
                      <c:pt idx="16">
                        <c:v>0.98</c:v>
                      </c:pt>
                      <c:pt idx="17">
                        <c:v>1.0549999999999999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64C-4393-BA15-9194B6C04B4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Changes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data!$A$4:$A$20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data!$G$4:$G$20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9.5000000000000001E-2</c:v>
                      </c:pt>
                      <c:pt idx="1">
                        <c:v>0.10999999999999999</c:v>
                      </c:pt>
                      <c:pt idx="2">
                        <c:v>9.0000000000000024E-2</c:v>
                      </c:pt>
                      <c:pt idx="3">
                        <c:v>-1.0000000000000009E-2</c:v>
                      </c:pt>
                      <c:pt idx="4">
                        <c:v>2.4999999999999967E-2</c:v>
                      </c:pt>
                      <c:pt idx="5">
                        <c:v>5.0000000000000044E-3</c:v>
                      </c:pt>
                      <c:pt idx="6">
                        <c:v>1.0000000000000009E-2</c:v>
                      </c:pt>
                      <c:pt idx="7">
                        <c:v>5.0000000000000044E-2</c:v>
                      </c:pt>
                      <c:pt idx="8">
                        <c:v>3.9999999999999925E-2</c:v>
                      </c:pt>
                      <c:pt idx="9">
                        <c:v>7.0000000000000062E-2</c:v>
                      </c:pt>
                      <c:pt idx="10">
                        <c:v>3.9999999999999925E-2</c:v>
                      </c:pt>
                      <c:pt idx="11">
                        <c:v>7.0000000000000062E-2</c:v>
                      </c:pt>
                      <c:pt idx="12">
                        <c:v>2.0000000000000018E-2</c:v>
                      </c:pt>
                      <c:pt idx="13">
                        <c:v>6.9999999999999951E-2</c:v>
                      </c:pt>
                      <c:pt idx="14">
                        <c:v>7.0000000000000062E-2</c:v>
                      </c:pt>
                      <c:pt idx="15">
                        <c:v>5.9999999999999942E-2</c:v>
                      </c:pt>
                      <c:pt idx="16">
                        <c:v>7.4999999999999956E-2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64C-4393-BA15-9194B6C04B4B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Film 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At val="-2.0000000000000004E-2"/>
        <c:crossBetween val="midCat"/>
      </c:valAx>
      <c:valAx>
        <c:axId val="702173151"/>
        <c:scaling>
          <c:orientation val="minMax"/>
          <c:max val="2.5000000000000005E-3"/>
          <c:min val="5.0000000000000012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OH Intensity (3440 cm</a:t>
                </a:r>
                <a:r>
                  <a:rPr lang="en-US" sz="1800" b="1" i="0" baseline="30000">
                    <a:solidFill>
                      <a:schemeClr val="tx1"/>
                    </a:solidFill>
                  </a:rPr>
                  <a:t>-1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, relative to bkg 2960 cm</a:t>
                </a:r>
                <a:r>
                  <a:rPr lang="en-US" sz="1800" b="1" i="0" baseline="30000">
                    <a:solidFill>
                      <a:schemeClr val="tx1"/>
                    </a:solidFill>
                  </a:rPr>
                  <a:t>-1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  <c:majorUnit val="1.0000000000000002E-3"/>
        <c:minorUnit val="1.0000000000000003E-4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9201820092394317"/>
          <c:y val="8.9151927687918089E-2"/>
          <c:w val="0.28934919069556136"/>
          <c:h val="9.7065368063897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82007115636949"/>
          <c:y val="6.4651922663764669E-2"/>
          <c:w val="0.75499460624677583"/>
          <c:h val="0.81213457408733003"/>
        </c:manualLayout>
      </c:layout>
      <c:scatterChart>
        <c:scatterStyle val="lineMarker"/>
        <c:varyColors val="0"/>
        <c:ser>
          <c:idx val="5"/>
          <c:order val="5"/>
          <c:tx>
            <c:v>OH Intensity/film thickness (nm)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xVal>
          <c:yVal>
            <c:numRef>
              <c:f>data!$L$3:$L$20</c:f>
              <c:numCache>
                <c:formatCode>0.00E+00</c:formatCode>
                <c:ptCount val="18"/>
                <c:pt idx="0">
                  <c:v>4.6827978698752203E-3</c:v>
                </c:pt>
                <c:pt idx="1">
                  <c:v>3.8833756843891397E-3</c:v>
                </c:pt>
                <c:pt idx="2">
                  <c:v>2.7585652027027063E-3</c:v>
                </c:pt>
                <c:pt idx="3">
                  <c:v>2.677264297953964E-3</c:v>
                </c:pt>
                <c:pt idx="4">
                  <c:v>2.5221933774509809E-3</c:v>
                </c:pt>
                <c:pt idx="5">
                  <c:v>2.4268184374613005E-3</c:v>
                </c:pt>
                <c:pt idx="6">
                  <c:v>2.8101638128357844E-3</c:v>
                </c:pt>
                <c:pt idx="7">
                  <c:v>3.2161421878751525E-3</c:v>
                </c:pt>
                <c:pt idx="8">
                  <c:v>2.5688233592047914E-3</c:v>
                </c:pt>
                <c:pt idx="9">
                  <c:v>2.5851849315415816E-3</c:v>
                </c:pt>
                <c:pt idx="10">
                  <c:v>2.5079181341628965E-3</c:v>
                </c:pt>
                <c:pt idx="11">
                  <c:v>2.3237019778346124E-3</c:v>
                </c:pt>
                <c:pt idx="12">
                  <c:v>2.2435202099458209E-3</c:v>
                </c:pt>
                <c:pt idx="13">
                  <c:v>2.3463156777903445E-3</c:v>
                </c:pt>
                <c:pt idx="14">
                  <c:v>2.2353903555363324E-3</c:v>
                </c:pt>
                <c:pt idx="15">
                  <c:v>2.3612522538363169E-3</c:v>
                </c:pt>
                <c:pt idx="16">
                  <c:v>2.1042606827731095E-3</c:v>
                </c:pt>
                <c:pt idx="17">
                  <c:v>2.0514857716754961E-3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73D-415A-AE37-3F93FA6958B0}"/>
            </c:ext>
          </c:extLst>
        </c:ser>
        <c:ser>
          <c:idx val="6"/>
          <c:order val="6"/>
          <c:tx>
            <c:v>OH Intensity/film thickness (nm)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-0.10066615603245528"/>
                  <c:y val="-0.323644957911151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data!$C$3:$C$5</c:f>
              <c:numCache>
                <c:formatCode>General</c:formatCode>
                <c:ptCount val="3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</c:numCache>
            </c:numRef>
          </c:xVal>
          <c:yVal>
            <c:numRef>
              <c:f>data!$L$3:$L$5</c:f>
              <c:numCache>
                <c:formatCode>0.00E+00</c:formatCode>
                <c:ptCount val="3"/>
                <c:pt idx="0">
                  <c:v>4.6827978698752203E-3</c:v>
                </c:pt>
                <c:pt idx="1">
                  <c:v>3.8833756843891397E-3</c:v>
                </c:pt>
                <c:pt idx="2">
                  <c:v>2.7585652027027063E-3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F5-4CDF-BC1A-86E2B7D91EBA}"/>
            </c:ext>
          </c:extLst>
        </c:ser>
        <c:ser>
          <c:idx val="7"/>
          <c:order val="7"/>
          <c:tx>
            <c:v>OH Intensity/film thickness (nm)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backward val="0.30000000000000004"/>
            <c:dispRSqr val="1"/>
            <c:dispEq val="1"/>
            <c:trendlineLbl>
              <c:layout>
                <c:manualLayout>
                  <c:x val="-7.8769482357264817E-2"/>
                  <c:y val="6.051297722878224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data!$C$5:$C$20</c:f>
              <c:numCache>
                <c:formatCode>General</c:formatCode>
                <c:ptCount val="16"/>
                <c:pt idx="0">
                  <c:v>1.4</c:v>
                </c:pt>
                <c:pt idx="1">
                  <c:v>1.6</c:v>
                </c:pt>
                <c:pt idx="2">
                  <c:v>1.675</c:v>
                </c:pt>
                <c:pt idx="3">
                  <c:v>1.7749999999999999</c:v>
                </c:pt>
                <c:pt idx="4">
                  <c:v>1.95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2.0499999999999998</c:v>
                </c:pt>
                <c:pt idx="9">
                  <c:v>2.0499999999999998</c:v>
                </c:pt>
                <c:pt idx="10">
                  <c:v>2</c:v>
                </c:pt>
                <c:pt idx="11">
                  <c:v>2.0499999999999998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xVal>
          <c:yVal>
            <c:numRef>
              <c:f>data!$L$5:$L$20</c:f>
              <c:numCache>
                <c:formatCode>0.00E+00</c:formatCode>
                <c:ptCount val="16"/>
                <c:pt idx="0">
                  <c:v>2.7585652027027063E-3</c:v>
                </c:pt>
                <c:pt idx="1">
                  <c:v>2.677264297953964E-3</c:v>
                </c:pt>
                <c:pt idx="2">
                  <c:v>2.5221933774509809E-3</c:v>
                </c:pt>
                <c:pt idx="3">
                  <c:v>2.4268184374613005E-3</c:v>
                </c:pt>
                <c:pt idx="4">
                  <c:v>2.8101638128357844E-3</c:v>
                </c:pt>
                <c:pt idx="5">
                  <c:v>3.2161421878751525E-3</c:v>
                </c:pt>
                <c:pt idx="6">
                  <c:v>2.5688233592047914E-3</c:v>
                </c:pt>
                <c:pt idx="7">
                  <c:v>2.5851849315415816E-3</c:v>
                </c:pt>
                <c:pt idx="8">
                  <c:v>2.5079181341628965E-3</c:v>
                </c:pt>
                <c:pt idx="9">
                  <c:v>2.3237019778346124E-3</c:v>
                </c:pt>
                <c:pt idx="10">
                  <c:v>2.2435202099458209E-3</c:v>
                </c:pt>
                <c:pt idx="11">
                  <c:v>2.3463156777903445E-3</c:v>
                </c:pt>
                <c:pt idx="12">
                  <c:v>2.2353903555363324E-3</c:v>
                </c:pt>
                <c:pt idx="13">
                  <c:v>2.3612522538363169E-3</c:v>
                </c:pt>
                <c:pt idx="14">
                  <c:v>2.1042606827731095E-3</c:v>
                </c:pt>
                <c:pt idx="15">
                  <c:v>2.0514857716754961E-3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F5-4CDF-BC1A-86E2B7D91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LO Peak Position (cm-1)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73D-415A-AE37-3F93FA6958B0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O:Si Stoichiometric Ratio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data!$C$3:$C$20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1.25</c:v>
                      </c:pt>
                      <c:pt idx="1">
                        <c:v>1.375</c:v>
                      </c:pt>
                      <c:pt idx="2">
                        <c:v>1.4</c:v>
                      </c:pt>
                      <c:pt idx="3">
                        <c:v>1.6</c:v>
                      </c:pt>
                      <c:pt idx="4">
                        <c:v>1.675</c:v>
                      </c:pt>
                      <c:pt idx="5">
                        <c:v>1.7749999999999999</c:v>
                      </c:pt>
                      <c:pt idx="6">
                        <c:v>1.95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2.0499999999999998</c:v>
                      </c:pt>
                      <c:pt idx="11">
                        <c:v>2.0499999999999998</c:v>
                      </c:pt>
                      <c:pt idx="12">
                        <c:v>2</c:v>
                      </c:pt>
                      <c:pt idx="13">
                        <c:v>2.0499999999999998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73D-415A-AE37-3F93FA6958B0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Film Thickness (nm)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data!$E$3:$E$20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0.16500000000000001</c:v>
                      </c:pt>
                      <c:pt idx="1">
                        <c:v>0.26</c:v>
                      </c:pt>
                      <c:pt idx="2">
                        <c:v>0.37</c:v>
                      </c:pt>
                      <c:pt idx="3">
                        <c:v>0.46</c:v>
                      </c:pt>
                      <c:pt idx="4">
                        <c:v>0.45</c:v>
                      </c:pt>
                      <c:pt idx="5">
                        <c:v>0.47499999999999998</c:v>
                      </c:pt>
                      <c:pt idx="6">
                        <c:v>0.48</c:v>
                      </c:pt>
                      <c:pt idx="7">
                        <c:v>0.49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0.65</c:v>
                      </c:pt>
                      <c:pt idx="11">
                        <c:v>0.69</c:v>
                      </c:pt>
                      <c:pt idx="12">
                        <c:v>0.76</c:v>
                      </c:pt>
                      <c:pt idx="13">
                        <c:v>0.78</c:v>
                      </c:pt>
                      <c:pt idx="14">
                        <c:v>0.85</c:v>
                      </c:pt>
                      <c:pt idx="15">
                        <c:v>0.92</c:v>
                      </c:pt>
                      <c:pt idx="16">
                        <c:v>0.98</c:v>
                      </c:pt>
                      <c:pt idx="17">
                        <c:v>1.0549999999999999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73D-415A-AE37-3F93FA6958B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Changes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data!$A$4:$A$20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13</c:v>
                      </c:pt>
                      <c:pt idx="12">
                        <c:v>14</c:v>
                      </c:pt>
                      <c:pt idx="13">
                        <c:v>15</c:v>
                      </c:pt>
                      <c:pt idx="14">
                        <c:v>16</c:v>
                      </c:pt>
                      <c:pt idx="15">
                        <c:v>17</c:v>
                      </c:pt>
                      <c:pt idx="16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data!$G$4:$G$20</c15:sqref>
                        </c15:formulaRef>
                      </c:ext>
                    </c:extLst>
                    <c:numCache>
                      <c:formatCode>General</c:formatCode>
                      <c:ptCount val="17"/>
                      <c:pt idx="0">
                        <c:v>9.5000000000000001E-2</c:v>
                      </c:pt>
                      <c:pt idx="1">
                        <c:v>0.10999999999999999</c:v>
                      </c:pt>
                      <c:pt idx="2">
                        <c:v>9.0000000000000024E-2</c:v>
                      </c:pt>
                      <c:pt idx="3">
                        <c:v>-1.0000000000000009E-2</c:v>
                      </c:pt>
                      <c:pt idx="4">
                        <c:v>2.4999999999999967E-2</c:v>
                      </c:pt>
                      <c:pt idx="5">
                        <c:v>5.0000000000000044E-3</c:v>
                      </c:pt>
                      <c:pt idx="6">
                        <c:v>1.0000000000000009E-2</c:v>
                      </c:pt>
                      <c:pt idx="7">
                        <c:v>5.0000000000000044E-2</c:v>
                      </c:pt>
                      <c:pt idx="8">
                        <c:v>3.9999999999999925E-2</c:v>
                      </c:pt>
                      <c:pt idx="9">
                        <c:v>7.0000000000000062E-2</c:v>
                      </c:pt>
                      <c:pt idx="10">
                        <c:v>3.9999999999999925E-2</c:v>
                      </c:pt>
                      <c:pt idx="11">
                        <c:v>7.0000000000000062E-2</c:v>
                      </c:pt>
                      <c:pt idx="12">
                        <c:v>2.0000000000000018E-2</c:v>
                      </c:pt>
                      <c:pt idx="13">
                        <c:v>6.9999999999999951E-2</c:v>
                      </c:pt>
                      <c:pt idx="14">
                        <c:v>7.0000000000000062E-2</c:v>
                      </c:pt>
                      <c:pt idx="15">
                        <c:v>5.9999999999999942E-2</c:v>
                      </c:pt>
                      <c:pt idx="16">
                        <c:v>7.4999999999999956E-2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73D-415A-AE37-3F93FA6958B0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OH Intensity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5"/>
                      </a:solidFill>
                      <a:prstDash val="sysDot"/>
                    </a:ln>
                    <a:effectLst/>
                  </c:spPr>
                  <c:trendlineType val="linear"/>
                  <c:dispRSqr val="1"/>
                  <c:dispEq val="1"/>
                  <c:trendlineLbl>
                    <c:layout>
                      <c:manualLayout>
                        <c:x val="-0.25438367466414025"/>
                        <c:y val="0.10248124595176844"/>
                      </c:manualLayout>
                    </c:layout>
                    <c:numFmt formatCode="0.0000E+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data!$E$3:$E$20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0.16500000000000001</c:v>
                      </c:pt>
                      <c:pt idx="1">
                        <c:v>0.26</c:v>
                      </c:pt>
                      <c:pt idx="2">
                        <c:v>0.37</c:v>
                      </c:pt>
                      <c:pt idx="3">
                        <c:v>0.46</c:v>
                      </c:pt>
                      <c:pt idx="4">
                        <c:v>0.45</c:v>
                      </c:pt>
                      <c:pt idx="5">
                        <c:v>0.47499999999999998</c:v>
                      </c:pt>
                      <c:pt idx="6">
                        <c:v>0.48</c:v>
                      </c:pt>
                      <c:pt idx="7">
                        <c:v>0.49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0.65</c:v>
                      </c:pt>
                      <c:pt idx="11">
                        <c:v>0.69</c:v>
                      </c:pt>
                      <c:pt idx="12">
                        <c:v>0.76</c:v>
                      </c:pt>
                      <c:pt idx="13">
                        <c:v>0.78</c:v>
                      </c:pt>
                      <c:pt idx="14">
                        <c:v>0.85</c:v>
                      </c:pt>
                      <c:pt idx="15">
                        <c:v>0.92</c:v>
                      </c:pt>
                      <c:pt idx="16">
                        <c:v>0.98</c:v>
                      </c:pt>
                      <c:pt idx="17">
                        <c:v>1.0549999999999999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data!$K$3:$K$20</c15:sqref>
                        </c15:formulaRef>
                      </c:ext>
                    </c:extLst>
                    <c:numCache>
                      <c:formatCode>0.00E+00</c:formatCode>
                      <c:ptCount val="18"/>
                      <c:pt idx="0">
                        <c:v>7.7266164852941139E-4</c:v>
                      </c:pt>
                      <c:pt idx="1">
                        <c:v>1.0096776779411763E-3</c:v>
                      </c:pt>
                      <c:pt idx="2">
                        <c:v>1.0206691250000013E-3</c:v>
                      </c:pt>
                      <c:pt idx="3">
                        <c:v>1.2315415770588235E-3</c:v>
                      </c:pt>
                      <c:pt idx="4">
                        <c:v>1.1349870198529414E-3</c:v>
                      </c:pt>
                      <c:pt idx="5">
                        <c:v>1.1527387577941178E-3</c:v>
                      </c:pt>
                      <c:pt idx="6">
                        <c:v>1.3488786301611765E-3</c:v>
                      </c:pt>
                      <c:pt idx="7">
                        <c:v>1.5759096720588247E-3</c:v>
                      </c:pt>
                      <c:pt idx="8">
                        <c:v>1.3871646139705875E-3</c:v>
                      </c:pt>
                      <c:pt idx="9">
                        <c:v>1.4994072602941173E-3</c:v>
                      </c:pt>
                      <c:pt idx="10">
                        <c:v>1.6301467872058828E-3</c:v>
                      </c:pt>
                      <c:pt idx="11">
                        <c:v>1.6033543647058824E-3</c:v>
                      </c:pt>
                      <c:pt idx="12">
                        <c:v>1.7050753595588238E-3</c:v>
                      </c:pt>
                      <c:pt idx="13">
                        <c:v>1.8301262286764689E-3</c:v>
                      </c:pt>
                      <c:pt idx="14">
                        <c:v>1.9000818022058825E-3</c:v>
                      </c:pt>
                      <c:pt idx="15">
                        <c:v>2.1723520735294115E-3</c:v>
                      </c:pt>
                      <c:pt idx="16">
                        <c:v>2.0621754691176474E-3</c:v>
                      </c:pt>
                      <c:pt idx="17">
                        <c:v>2.1643174891176481E-3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73D-415A-AE37-3F93FA6958B0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O:Si Stoichiometric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At val="-2.0000000000000004E-2"/>
        <c:crossBetween val="midCat"/>
      </c:valAx>
      <c:valAx>
        <c:axId val="702173151"/>
        <c:scaling>
          <c:orientation val="minMax"/>
          <c:max val="5.000000000000001E-3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Ratio of OH Intensity : Film 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  <c:majorUnit val="1.0000000000000002E-3"/>
        <c:minorUnit val="1.0000000000000003E-4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47365282136944153"/>
          <c:y val="7.0856512889824447E-2"/>
          <c:w val="0.42080379642223631"/>
          <c:h val="0.3320362511011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5072846560917"/>
          <c:y val="6.2626262626262627E-2"/>
          <c:w val="0.75499460624677583"/>
          <c:h val="0.81213457408733003"/>
        </c:manualLayout>
      </c:layout>
      <c:scatterChart>
        <c:scatterStyle val="lineMarker"/>
        <c:varyColors val="0"/>
        <c:ser>
          <c:idx val="0"/>
          <c:order val="0"/>
          <c:tx>
            <c:v>LO Peak Position (cm-1)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xVal>
          <c:yVal>
            <c:numRef>
              <c:f>data!$B$3:$B$20</c:f>
              <c:numCache>
                <c:formatCode>General</c:formatCode>
                <c:ptCount val="18"/>
                <c:pt idx="0">
                  <c:v>1144</c:v>
                </c:pt>
                <c:pt idx="1">
                  <c:v>1182</c:v>
                </c:pt>
                <c:pt idx="2">
                  <c:v>1192</c:v>
                </c:pt>
                <c:pt idx="3">
                  <c:v>1217</c:v>
                </c:pt>
                <c:pt idx="4">
                  <c:v>1220</c:v>
                </c:pt>
                <c:pt idx="5">
                  <c:v>1228</c:v>
                </c:pt>
                <c:pt idx="6">
                  <c:v>1235</c:v>
                </c:pt>
                <c:pt idx="7">
                  <c:v>1234</c:v>
                </c:pt>
                <c:pt idx="8">
                  <c:v>1236</c:v>
                </c:pt>
                <c:pt idx="9">
                  <c:v>1237</c:v>
                </c:pt>
                <c:pt idx="10">
                  <c:v>1239</c:v>
                </c:pt>
                <c:pt idx="11">
                  <c:v>1239</c:v>
                </c:pt>
                <c:pt idx="12">
                  <c:v>1239</c:v>
                </c:pt>
                <c:pt idx="13">
                  <c:v>1239</c:v>
                </c:pt>
                <c:pt idx="14">
                  <c:v>1238</c:v>
                </c:pt>
                <c:pt idx="15">
                  <c:v>1238</c:v>
                </c:pt>
                <c:pt idx="16">
                  <c:v>1238</c:v>
                </c:pt>
                <c:pt idx="17">
                  <c:v>1237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C3F4-4B92-8B48-B66E7211A338}"/>
            </c:ext>
          </c:extLst>
        </c:ser>
        <c:ser>
          <c:idx val="1"/>
          <c:order val="1"/>
          <c:tx>
            <c:v>O:Si Ratio &lt; 1.5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0.19146913063832971"/>
                  <c:y val="0.3065279064607901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i="0" baseline="0">
                        <a:solidFill>
                          <a:schemeClr val="tx1"/>
                        </a:solidFill>
                      </a:rPr>
                      <a:t>y = 314.84x + 750.26</a:t>
                    </a:r>
                    <a:br>
                      <a:rPr lang="en-US" sz="1400" b="1" i="0" baseline="0">
                        <a:solidFill>
                          <a:schemeClr val="tx1"/>
                        </a:solidFill>
                      </a:rPr>
                    </a:br>
                    <a:r>
                      <a:rPr lang="en-US" sz="1400" b="1" i="0" baseline="0">
                        <a:solidFill>
                          <a:schemeClr val="tx1"/>
                        </a:solidFill>
                      </a:rPr>
                      <a:t>R² = 0.9982</a:t>
                    </a:r>
                  </a:p>
                </c:rich>
              </c:tx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data!$C$3:$C$5</c:f>
              <c:numCache>
                <c:formatCode>General</c:formatCode>
                <c:ptCount val="3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</c:numCache>
            </c:numRef>
          </c:xVal>
          <c:yVal>
            <c:numRef>
              <c:f>data!$B$3:$B$5</c:f>
              <c:numCache>
                <c:formatCode>General</c:formatCode>
                <c:ptCount val="3"/>
                <c:pt idx="0">
                  <c:v>1144</c:v>
                </c:pt>
                <c:pt idx="1">
                  <c:v>1182</c:v>
                </c:pt>
                <c:pt idx="2">
                  <c:v>1192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F4-4B92-8B48-B66E7211A338}"/>
            </c:ext>
          </c:extLst>
        </c:ser>
        <c:ser>
          <c:idx val="2"/>
          <c:order val="2"/>
          <c:tx>
            <c:v>O:Si Ratio &gt; 1.5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backward val="0.30000000000000004"/>
            <c:dispRSqr val="1"/>
            <c:dispEq val="1"/>
            <c:trendlineLbl>
              <c:layout>
                <c:manualLayout>
                  <c:x val="6.8950969881815413E-2"/>
                  <c:y val="0.1842216701147245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400" b="1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400" b="1" i="0" baseline="0">
                        <a:solidFill>
                          <a:schemeClr val="tx1"/>
                        </a:solidFill>
                      </a:rPr>
                      <a:t>y = 49.00x + 1,139.04</a:t>
                    </a:r>
                    <a:br>
                      <a:rPr lang="en-US" sz="1400" b="1" i="0" baseline="0">
                        <a:solidFill>
                          <a:schemeClr val="tx1"/>
                        </a:solidFill>
                      </a:rPr>
                    </a:br>
                    <a:r>
                      <a:rPr lang="en-US" sz="1400" b="1" i="0" baseline="0">
                        <a:solidFill>
                          <a:schemeClr val="tx1"/>
                        </a:solidFill>
                      </a:rPr>
                      <a:t>R² = 0.9664</a:t>
                    </a:r>
                  </a:p>
                </c:rich>
              </c:tx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data!$C$6:$C$20</c:f>
              <c:numCache>
                <c:formatCode>General</c:formatCode>
                <c:ptCount val="15"/>
                <c:pt idx="0">
                  <c:v>1.6</c:v>
                </c:pt>
                <c:pt idx="1">
                  <c:v>1.675</c:v>
                </c:pt>
                <c:pt idx="2">
                  <c:v>1.7749999999999999</c:v>
                </c:pt>
                <c:pt idx="3">
                  <c:v>1.95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2.0499999999999998</c:v>
                </c:pt>
                <c:pt idx="8">
                  <c:v>2.0499999999999998</c:v>
                </c:pt>
                <c:pt idx="9">
                  <c:v>2</c:v>
                </c:pt>
                <c:pt idx="10">
                  <c:v>2.0499999999999998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xVal>
          <c:yVal>
            <c:numRef>
              <c:f>data!$B$6:$B$20</c:f>
              <c:numCache>
                <c:formatCode>General</c:formatCode>
                <c:ptCount val="15"/>
                <c:pt idx="0">
                  <c:v>1217</c:v>
                </c:pt>
                <c:pt idx="1">
                  <c:v>1220</c:v>
                </c:pt>
                <c:pt idx="2">
                  <c:v>1228</c:v>
                </c:pt>
                <c:pt idx="3">
                  <c:v>1235</c:v>
                </c:pt>
                <c:pt idx="4">
                  <c:v>1234</c:v>
                </c:pt>
                <c:pt idx="5">
                  <c:v>1236</c:v>
                </c:pt>
                <c:pt idx="6">
                  <c:v>1237</c:v>
                </c:pt>
                <c:pt idx="7">
                  <c:v>1239</c:v>
                </c:pt>
                <c:pt idx="8">
                  <c:v>1239</c:v>
                </c:pt>
                <c:pt idx="9">
                  <c:v>1239</c:v>
                </c:pt>
                <c:pt idx="10">
                  <c:v>1239</c:v>
                </c:pt>
                <c:pt idx="11">
                  <c:v>1238</c:v>
                </c:pt>
                <c:pt idx="12">
                  <c:v>1238</c:v>
                </c:pt>
                <c:pt idx="13">
                  <c:v>1238</c:v>
                </c:pt>
                <c:pt idx="14">
                  <c:v>1237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F4-4B92-8B48-B66E7211A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/>
      </c:scatterChart>
      <c:valAx>
        <c:axId val="395365551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O:Si Stoichiometric Ratio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LO Peak Position (cm</a:t>
                </a:r>
                <a:r>
                  <a:rPr lang="en-US" sz="1800" b="1" i="0" baseline="30000">
                    <a:solidFill>
                      <a:schemeClr val="tx1"/>
                    </a:solidFill>
                    <a:sym typeface="Symbol" panose="05050102010706020507" pitchFamily="18" charset="2"/>
                  </a:rPr>
                  <a:t>1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45283852542952"/>
          <c:y val="8.7120973514674308E-2"/>
          <c:w val="0.26528050115191071"/>
          <c:h val="0.23822031336991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5072846560917"/>
          <c:y val="6.2626262626262627E-2"/>
          <c:w val="0.74473344986504664"/>
          <c:h val="0.81213457408733003"/>
        </c:manualLayout>
      </c:layout>
      <c:scatterChart>
        <c:scatterStyle val="lineMarker"/>
        <c:varyColors val="0"/>
        <c:ser>
          <c:idx val="0"/>
          <c:order val="0"/>
          <c:tx>
            <c:v>LO Peak Position (cm-1)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xVal>
          <c:yVal>
            <c:numRef>
              <c:f>data!$B$3:$B$20</c:f>
              <c:numCache>
                <c:formatCode>General</c:formatCode>
                <c:ptCount val="18"/>
                <c:pt idx="0">
                  <c:v>1144</c:v>
                </c:pt>
                <c:pt idx="1">
                  <c:v>1182</c:v>
                </c:pt>
                <c:pt idx="2">
                  <c:v>1192</c:v>
                </c:pt>
                <c:pt idx="3">
                  <c:v>1217</c:v>
                </c:pt>
                <c:pt idx="4">
                  <c:v>1220</c:v>
                </c:pt>
                <c:pt idx="5">
                  <c:v>1228</c:v>
                </c:pt>
                <c:pt idx="6">
                  <c:v>1235</c:v>
                </c:pt>
                <c:pt idx="7">
                  <c:v>1234</c:v>
                </c:pt>
                <c:pt idx="8">
                  <c:v>1236</c:v>
                </c:pt>
                <c:pt idx="9">
                  <c:v>1237</c:v>
                </c:pt>
                <c:pt idx="10">
                  <c:v>1239</c:v>
                </c:pt>
                <c:pt idx="11">
                  <c:v>1239</c:v>
                </c:pt>
                <c:pt idx="12">
                  <c:v>1239</c:v>
                </c:pt>
                <c:pt idx="13">
                  <c:v>1239</c:v>
                </c:pt>
                <c:pt idx="14">
                  <c:v>1238</c:v>
                </c:pt>
                <c:pt idx="15">
                  <c:v>1238</c:v>
                </c:pt>
                <c:pt idx="16">
                  <c:v>1238</c:v>
                </c:pt>
                <c:pt idx="17">
                  <c:v>1237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DED9-48F5-BC9D-4703A2004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O:Si Ratio &lt; 1.5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forward val="0.1"/>
                  <c:dispRSqr val="1"/>
                  <c:dispEq val="1"/>
                  <c:trendlineLbl>
                    <c:layout>
                      <c:manualLayout>
                        <c:x val="0.10295815115004565"/>
                        <c:y val="0.31102219040801721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14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y = 314.84x + 750.26</a:t>
                          </a:r>
                          <a:b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</a:b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R² = 0.9982</a:t>
                          </a:r>
                        </a:p>
                      </c:rich>
                    </c:tx>
                    <c:numFmt formatCode="#,##0.00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data!$C$3:$C$5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1.25</c:v>
                      </c:pt>
                      <c:pt idx="1">
                        <c:v>1.375</c:v>
                      </c:pt>
                      <c:pt idx="2">
                        <c:v>1.4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ED9-48F5-BC9D-4703A200411A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O:Si Ratio &gt; 1.5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backward val="0.30000000000000004"/>
                  <c:dispRSqr val="1"/>
                  <c:dispEq val="1"/>
                  <c:trendlineLbl>
                    <c:layout>
                      <c:manualLayout>
                        <c:x val="5.5723054533091294E-2"/>
                        <c:y val="0.16708327368169887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14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y = 49.00x + 1,139.04</a:t>
                          </a:r>
                          <a:b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</a:b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R² = 0.9664</a:t>
                          </a:r>
                        </a:p>
                      </c:rich>
                    </c:tx>
                    <c:numFmt formatCode="#,##0.00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data!$C$6:$C$20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1.6</c:v>
                      </c:pt>
                      <c:pt idx="1">
                        <c:v>1.675</c:v>
                      </c:pt>
                      <c:pt idx="2">
                        <c:v>1.7749999999999999</c:v>
                      </c:pt>
                      <c:pt idx="3">
                        <c:v>1.95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2.0499999999999998</c:v>
                      </c:pt>
                      <c:pt idx="8">
                        <c:v>2.0499999999999998</c:v>
                      </c:pt>
                      <c:pt idx="9">
                        <c:v>2</c:v>
                      </c:pt>
                      <c:pt idx="10">
                        <c:v>2.0499999999999998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data!$B$6:$B$20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1217</c:v>
                      </c:pt>
                      <c:pt idx="1">
                        <c:v>1220</c:v>
                      </c:pt>
                      <c:pt idx="2">
                        <c:v>1228</c:v>
                      </c:pt>
                      <c:pt idx="3">
                        <c:v>1235</c:v>
                      </c:pt>
                      <c:pt idx="4">
                        <c:v>1234</c:v>
                      </c:pt>
                      <c:pt idx="5">
                        <c:v>1236</c:v>
                      </c:pt>
                      <c:pt idx="6">
                        <c:v>1237</c:v>
                      </c:pt>
                      <c:pt idx="7">
                        <c:v>1239</c:v>
                      </c:pt>
                      <c:pt idx="8">
                        <c:v>1239</c:v>
                      </c:pt>
                      <c:pt idx="9">
                        <c:v>1239</c:v>
                      </c:pt>
                      <c:pt idx="10">
                        <c:v>1239</c:v>
                      </c:pt>
                      <c:pt idx="11">
                        <c:v>1238</c:v>
                      </c:pt>
                      <c:pt idx="12">
                        <c:v>1238</c:v>
                      </c:pt>
                      <c:pt idx="13">
                        <c:v>1238</c:v>
                      </c:pt>
                      <c:pt idx="14">
                        <c:v>1237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ED9-48F5-BC9D-4703A200411A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3"/>
          <c:tx>
            <c:v>XPS Si 2p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data!$N$3:$N$11</c:f>
              <c:numCache>
                <c:formatCode>0.00</c:formatCode>
                <c:ptCount val="9"/>
                <c:pt idx="0">
                  <c:v>0.93</c:v>
                </c:pt>
                <c:pt idx="1">
                  <c:v>1.05</c:v>
                </c:pt>
                <c:pt idx="2">
                  <c:v>1.24</c:v>
                </c:pt>
                <c:pt idx="3">
                  <c:v>1.35</c:v>
                </c:pt>
                <c:pt idx="4">
                  <c:v>1.49</c:v>
                </c:pt>
                <c:pt idx="5">
                  <c:v>1.78</c:v>
                </c:pt>
                <c:pt idx="6">
                  <c:v>1.91</c:v>
                </c:pt>
                <c:pt idx="7">
                  <c:v>2</c:v>
                </c:pt>
                <c:pt idx="8">
                  <c:v>2.08</c:v>
                </c:pt>
              </c:numCache>
            </c:numRef>
          </c:xVal>
          <c:yVal>
            <c:numRef>
              <c:f>data!$O$3:$O$11</c:f>
              <c:numCache>
                <c:formatCode>General</c:formatCode>
                <c:ptCount val="9"/>
                <c:pt idx="0">
                  <c:v>101.9</c:v>
                </c:pt>
                <c:pt idx="1">
                  <c:v>102.2</c:v>
                </c:pt>
                <c:pt idx="2">
                  <c:v>102.4</c:v>
                </c:pt>
                <c:pt idx="3">
                  <c:v>102.7</c:v>
                </c:pt>
                <c:pt idx="4">
                  <c:v>102.8</c:v>
                </c:pt>
                <c:pt idx="5">
                  <c:v>103.1</c:v>
                </c:pt>
                <c:pt idx="6">
                  <c:v>103.2</c:v>
                </c:pt>
                <c:pt idx="7">
                  <c:v>103.8</c:v>
                </c:pt>
                <c:pt idx="8">
                  <c:v>103.7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ED9-48F5-BC9D-4703A2004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340591"/>
        <c:axId val="2066342991"/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O:Si Stoichiometric Ratio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LO Peak Position (cm</a:t>
                </a:r>
                <a:r>
                  <a:rPr lang="en-US" sz="1800" b="1" i="0" baseline="30000">
                    <a:solidFill>
                      <a:schemeClr val="tx1"/>
                    </a:solidFill>
                    <a:sym typeface="Symbol" panose="05050102010706020507" pitchFamily="18" charset="2"/>
                  </a:rPr>
                  <a:t>1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valAx>
        <c:axId val="20663429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XPS Si 2p (eV)</a:t>
                </a:r>
                <a:endParaRPr lang="en-US" sz="1800"/>
              </a:p>
            </c:rich>
          </c:tx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40591"/>
        <c:crosses val="max"/>
        <c:crossBetween val="midCat"/>
      </c:valAx>
      <c:valAx>
        <c:axId val="206634059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06634299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45283852542952"/>
          <c:y val="8.7120973514674308E-2"/>
          <c:w val="0.25006913876415438"/>
          <c:h val="8.8962923821233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65072846560917"/>
          <c:y val="6.2626262626262627E-2"/>
          <c:w val="0.74473344986504664"/>
          <c:h val="0.81213457408733003"/>
        </c:manualLayout>
      </c:layout>
      <c:scatterChart>
        <c:scatterStyle val="lineMarker"/>
        <c:varyColors val="0"/>
        <c:ser>
          <c:idx val="0"/>
          <c:order val="0"/>
          <c:tx>
            <c:v>LO Peak Position (cm-1)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xVal>
          <c:yVal>
            <c:numRef>
              <c:f>data!$B$3:$B$20</c:f>
              <c:numCache>
                <c:formatCode>General</c:formatCode>
                <c:ptCount val="18"/>
                <c:pt idx="0">
                  <c:v>1144</c:v>
                </c:pt>
                <c:pt idx="1">
                  <c:v>1182</c:v>
                </c:pt>
                <c:pt idx="2">
                  <c:v>1192</c:v>
                </c:pt>
                <c:pt idx="3">
                  <c:v>1217</c:v>
                </c:pt>
                <c:pt idx="4">
                  <c:v>1220</c:v>
                </c:pt>
                <c:pt idx="5">
                  <c:v>1228</c:v>
                </c:pt>
                <c:pt idx="6">
                  <c:v>1235</c:v>
                </c:pt>
                <c:pt idx="7">
                  <c:v>1234</c:v>
                </c:pt>
                <c:pt idx="8">
                  <c:v>1236</c:v>
                </c:pt>
                <c:pt idx="9">
                  <c:v>1237</c:v>
                </c:pt>
                <c:pt idx="10">
                  <c:v>1239</c:v>
                </c:pt>
                <c:pt idx="11">
                  <c:v>1239</c:v>
                </c:pt>
                <c:pt idx="12">
                  <c:v>1239</c:v>
                </c:pt>
                <c:pt idx="13">
                  <c:v>1239</c:v>
                </c:pt>
                <c:pt idx="14">
                  <c:v>1238</c:v>
                </c:pt>
                <c:pt idx="15">
                  <c:v>1238</c:v>
                </c:pt>
                <c:pt idx="16">
                  <c:v>1238</c:v>
                </c:pt>
                <c:pt idx="17">
                  <c:v>1237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F463-4B2B-8BEF-FC9E67B1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O:Si Ratio &lt; 1.5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2"/>
                      </a:solidFill>
                      <a:prstDash val="sysDot"/>
                    </a:ln>
                    <a:effectLst/>
                  </c:spPr>
                  <c:trendlineType val="linear"/>
                  <c:forward val="0.1"/>
                  <c:dispRSqr val="1"/>
                  <c:dispEq val="1"/>
                  <c:trendlineLbl>
                    <c:layout>
                      <c:manualLayout>
                        <c:x val="0.10295815115004565"/>
                        <c:y val="0.31102219040801721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14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y = 314.84x + 750.26</a:t>
                          </a:r>
                          <a:b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</a:b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R² = 0.9982</a:t>
                          </a:r>
                        </a:p>
                      </c:rich>
                    </c:tx>
                    <c:numFmt formatCode="#,##0.00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>
                      <c:ext uri="{02D57815-91ED-43cb-92C2-25804820EDAC}">
                        <c15:formulaRef>
                          <c15:sqref>data!$C$3:$C$5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1.25</c:v>
                      </c:pt>
                      <c:pt idx="1">
                        <c:v>1.375</c:v>
                      </c:pt>
                      <c:pt idx="2">
                        <c:v>1.4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F463-4B2B-8BEF-FC9E67B1C11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O:Si Ratio &gt; 1.5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3"/>
                      </a:solidFill>
                      <a:prstDash val="sysDot"/>
                    </a:ln>
                    <a:effectLst/>
                  </c:spPr>
                  <c:trendlineType val="linear"/>
                  <c:backward val="0.30000000000000004"/>
                  <c:dispRSqr val="1"/>
                  <c:dispEq val="1"/>
                  <c:trendlineLbl>
                    <c:layout>
                      <c:manualLayout>
                        <c:x val="5.5723054533091294E-2"/>
                        <c:y val="0.16708327368169887"/>
                      </c:manualLayout>
                    </c:layout>
                    <c:tx>
                      <c:rich>
                        <a:bodyPr rot="0" spcFirstLastPara="1" vertOverflow="ellipsis" vert="horz" wrap="square" anchor="ctr" anchorCtr="1"/>
                        <a:lstStyle/>
                        <a:p>
                          <a:pPr>
                            <a:defRPr sz="1400" b="1" i="0" u="none" strike="noStrike" kern="1200" baseline="0">
                              <a:solidFill>
                                <a:schemeClr val="tx1"/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y = 49.00x + 1,139.04</a:t>
                          </a:r>
                          <a:b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</a:br>
                          <a:r>
                            <a:rPr lang="en-US" sz="1400" b="1" i="0" baseline="0">
                              <a:solidFill>
                                <a:schemeClr val="tx1"/>
                              </a:solidFill>
                            </a:rPr>
                            <a:t>R² = 0.9664</a:t>
                          </a:r>
                        </a:p>
                      </c:rich>
                    </c:tx>
                    <c:numFmt formatCode="#,##0.0000" sourceLinked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anchor="ctr" anchorCtr="1"/>
                      <a:lstStyle/>
                      <a:p>
                        <a:pPr>
                          <a:defRPr sz="1400" b="1" i="0" u="none" strike="noStrike" kern="1200" baseline="0">
                            <a:solidFill>
                              <a:schemeClr val="tx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</c:trendlineLbl>
                </c:trendline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data!$C$6:$C$20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1.6</c:v>
                      </c:pt>
                      <c:pt idx="1">
                        <c:v>1.675</c:v>
                      </c:pt>
                      <c:pt idx="2">
                        <c:v>1.7749999999999999</c:v>
                      </c:pt>
                      <c:pt idx="3">
                        <c:v>1.95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2.0499999999999998</c:v>
                      </c:pt>
                      <c:pt idx="8">
                        <c:v>2.0499999999999998</c:v>
                      </c:pt>
                      <c:pt idx="9">
                        <c:v>2</c:v>
                      </c:pt>
                      <c:pt idx="10">
                        <c:v>2.0499999999999998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data!$B$6:$B$20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1217</c:v>
                      </c:pt>
                      <c:pt idx="1">
                        <c:v>1220</c:v>
                      </c:pt>
                      <c:pt idx="2">
                        <c:v>1228</c:v>
                      </c:pt>
                      <c:pt idx="3">
                        <c:v>1235</c:v>
                      </c:pt>
                      <c:pt idx="4">
                        <c:v>1234</c:v>
                      </c:pt>
                      <c:pt idx="5">
                        <c:v>1236</c:v>
                      </c:pt>
                      <c:pt idx="6">
                        <c:v>1237</c:v>
                      </c:pt>
                      <c:pt idx="7">
                        <c:v>1239</c:v>
                      </c:pt>
                      <c:pt idx="8">
                        <c:v>1239</c:v>
                      </c:pt>
                      <c:pt idx="9">
                        <c:v>1239</c:v>
                      </c:pt>
                      <c:pt idx="10">
                        <c:v>1239</c:v>
                      </c:pt>
                      <c:pt idx="11">
                        <c:v>1238</c:v>
                      </c:pt>
                      <c:pt idx="12">
                        <c:v>1238</c:v>
                      </c:pt>
                      <c:pt idx="13">
                        <c:v>1238</c:v>
                      </c:pt>
                      <c:pt idx="14">
                        <c:v>1237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463-4B2B-8BEF-FC9E67B1C11D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ser>
          <c:idx val="3"/>
          <c:order val="3"/>
          <c:tx>
            <c:v>XPS Si 2p, theor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data!$P$3:$P$8</c:f>
              <c:numCache>
                <c:formatCode>General</c:formatCode>
                <c:ptCount val="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</c:numCache>
            </c:numRef>
          </c:xVal>
          <c:yVal>
            <c:numRef>
              <c:f>data!$Q$3:$Q$7</c:f>
              <c:numCache>
                <c:formatCode>General</c:formatCode>
                <c:ptCount val="5"/>
                <c:pt idx="0">
                  <c:v>99.8</c:v>
                </c:pt>
                <c:pt idx="1">
                  <c:v>100.7</c:v>
                </c:pt>
                <c:pt idx="2">
                  <c:v>101.5</c:v>
                </c:pt>
                <c:pt idx="3">
                  <c:v>102.5</c:v>
                </c:pt>
                <c:pt idx="4">
                  <c:v>103.5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63-4B2B-8BEF-FC9E67B1C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6340591"/>
        <c:axId val="2066342991"/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O:Si Stoichiometric Ratio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baseline="0">
                    <a:solidFill>
                      <a:schemeClr val="tx1"/>
                    </a:solidFill>
                  </a:rPr>
                  <a:t>LO Peak Position (cm</a:t>
                </a:r>
                <a:r>
                  <a:rPr lang="en-US" sz="1800" b="1" i="0" baseline="30000">
                    <a:solidFill>
                      <a:schemeClr val="tx1"/>
                    </a:solidFill>
                    <a:sym typeface="Symbol" panose="05050102010706020507" pitchFamily="18" charset="2"/>
                  </a:rPr>
                  <a:t>1</a:t>
                </a:r>
                <a:r>
                  <a:rPr lang="en-US" sz="1800" b="1" i="0" baseline="0">
                    <a:solidFill>
                      <a:schemeClr val="tx1"/>
                    </a:solidFill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valAx>
        <c:axId val="20663429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XPS Si 2p, theoretical (eV)</a:t>
                </a:r>
                <a:endParaRPr lang="en-US" sz="1800"/>
              </a:p>
            </c:rich>
          </c:tx>
          <c:overlay val="0"/>
          <c:spPr>
            <a:noFill/>
            <a:ln w="25400"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6340591"/>
        <c:crosses val="max"/>
        <c:crossBetween val="midCat"/>
      </c:valAx>
      <c:valAx>
        <c:axId val="20663405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6634299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45283852542952"/>
          <c:y val="8.7120973514674308E-2"/>
          <c:w val="0.25006913876415438"/>
          <c:h val="8.89629238212339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29774683808464"/>
          <c:y val="6.2626311603098908E-2"/>
          <c:w val="0.75499460624677583"/>
          <c:h val="0.81213457408733003"/>
        </c:manualLayout>
      </c:layout>
      <c:scatterChart>
        <c:scatterStyle val="lineMarker"/>
        <c:varyColors val="0"/>
        <c:ser>
          <c:idx val="2"/>
          <c:order val="2"/>
          <c:tx>
            <c:v>Film Thickness (nm)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xVal>
          <c:yVal>
            <c:numRef>
              <c:f>data!$B$3:$B$20</c:f>
              <c:numCache>
                <c:formatCode>General</c:formatCode>
                <c:ptCount val="18"/>
                <c:pt idx="0">
                  <c:v>1144</c:v>
                </c:pt>
                <c:pt idx="1">
                  <c:v>1182</c:v>
                </c:pt>
                <c:pt idx="2">
                  <c:v>1192</c:v>
                </c:pt>
                <c:pt idx="3">
                  <c:v>1217</c:v>
                </c:pt>
                <c:pt idx="4">
                  <c:v>1220</c:v>
                </c:pt>
                <c:pt idx="5">
                  <c:v>1228</c:v>
                </c:pt>
                <c:pt idx="6">
                  <c:v>1235</c:v>
                </c:pt>
                <c:pt idx="7">
                  <c:v>1234</c:v>
                </c:pt>
                <c:pt idx="8">
                  <c:v>1236</c:v>
                </c:pt>
                <c:pt idx="9">
                  <c:v>1237</c:v>
                </c:pt>
                <c:pt idx="10">
                  <c:v>1239</c:v>
                </c:pt>
                <c:pt idx="11">
                  <c:v>1239</c:v>
                </c:pt>
                <c:pt idx="12">
                  <c:v>1239</c:v>
                </c:pt>
                <c:pt idx="13">
                  <c:v>1239</c:v>
                </c:pt>
                <c:pt idx="14">
                  <c:v>1238</c:v>
                </c:pt>
                <c:pt idx="15">
                  <c:v>1238</c:v>
                </c:pt>
                <c:pt idx="16">
                  <c:v>1238</c:v>
                </c:pt>
                <c:pt idx="17">
                  <c:v>1237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C4-4D0F-B74C-1874E748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LO Peak Position (cm-1)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8BC4-4D0F-B74C-1874E74803D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O:Si Stoichiometric Ratio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data!$A$3:$A$20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data!$C$3:$C$20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1.25</c:v>
                      </c:pt>
                      <c:pt idx="1">
                        <c:v>1.375</c:v>
                      </c:pt>
                      <c:pt idx="2">
                        <c:v>1.4</c:v>
                      </c:pt>
                      <c:pt idx="3">
                        <c:v>1.6</c:v>
                      </c:pt>
                      <c:pt idx="4">
                        <c:v>1.675</c:v>
                      </c:pt>
                      <c:pt idx="5">
                        <c:v>1.7749999999999999</c:v>
                      </c:pt>
                      <c:pt idx="6">
                        <c:v>1.95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2.0499999999999998</c:v>
                      </c:pt>
                      <c:pt idx="11">
                        <c:v>2.0499999999999998</c:v>
                      </c:pt>
                      <c:pt idx="12">
                        <c:v>2</c:v>
                      </c:pt>
                      <c:pt idx="13">
                        <c:v>2.0499999999999998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BC4-4D0F-B74C-1874E74803D1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Film Thickness (nm)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LO Peak Position (cm</a:t>
                </a:r>
                <a:r>
                  <a:rPr lang="en-US" sz="1800" b="1" i="0" u="none" strike="noStrike" kern="1200" baseline="30000">
                    <a:solidFill>
                      <a:schemeClr val="tx1"/>
                    </a:solidFill>
                    <a:sym typeface="Symbol" panose="05050102010706020507" pitchFamily="18" charset="2"/>
                  </a:rPr>
                  <a:t>1</a:t>
                </a: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)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20814288431688127"/>
          <c:y val="0.10333120511257854"/>
          <c:w val="0.23076430306740647"/>
          <c:h val="4.64250915472526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29774683808464"/>
          <c:y val="6.2626311603098908E-2"/>
          <c:w val="0.75499460624677583"/>
          <c:h val="0.81213457408733003"/>
        </c:manualLayout>
      </c:layout>
      <c:scatterChart>
        <c:scatterStyle val="lineMarker"/>
        <c:varyColors val="0"/>
        <c:ser>
          <c:idx val="0"/>
          <c:order val="1"/>
          <c:tx>
            <c:v>O:Si Stoichiometric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xVal>
          <c:y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9C-4283-B2DA-8A12DF4B6430}"/>
            </c:ext>
          </c:extLst>
        </c:ser>
        <c:ser>
          <c:idx val="1"/>
          <c:order val="2"/>
          <c:tx>
            <c:v>series1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2"/>
            <c:dispRSqr val="1"/>
            <c:dispEq val="1"/>
            <c:trendlineLbl>
              <c:layout>
                <c:manualLayout>
                  <c:x val="9.9988042110239733E-2"/>
                  <c:y val="0.189649669769573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data!$E$3:$E$5</c:f>
              <c:numCache>
                <c:formatCode>General</c:formatCode>
                <c:ptCount val="3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</c:numCache>
            </c:numRef>
          </c:xVal>
          <c:yVal>
            <c:numRef>
              <c:f>data!$C$3:$C$5</c:f>
              <c:numCache>
                <c:formatCode>General</c:formatCode>
                <c:ptCount val="3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9C-4283-B2DA-8A12DF4B6430}"/>
            </c:ext>
          </c:extLst>
        </c:ser>
        <c:ser>
          <c:idx val="3"/>
          <c:order val="3"/>
          <c:tx>
            <c:v>series2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2.5000000000000005E-2"/>
            <c:dispRSqr val="1"/>
            <c:dispEq val="1"/>
            <c:trendlineLbl>
              <c:layout>
                <c:manualLayout>
                  <c:x val="0.20159397747115101"/>
                  <c:y val="0.120497062624716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data!$E$6:$E$10</c:f>
              <c:numCache>
                <c:formatCode>General</c:formatCode>
                <c:ptCount val="5"/>
                <c:pt idx="0">
                  <c:v>0.46</c:v>
                </c:pt>
                <c:pt idx="1">
                  <c:v>0.45</c:v>
                </c:pt>
                <c:pt idx="2">
                  <c:v>0.47499999999999998</c:v>
                </c:pt>
                <c:pt idx="3">
                  <c:v>0.48</c:v>
                </c:pt>
                <c:pt idx="4">
                  <c:v>0.49</c:v>
                </c:pt>
              </c:numCache>
            </c:numRef>
          </c:xVal>
          <c:yVal>
            <c:numRef>
              <c:f>data!$C$6:$C$10</c:f>
              <c:numCache>
                <c:formatCode>General</c:formatCode>
                <c:ptCount val="5"/>
                <c:pt idx="0">
                  <c:v>1.6</c:v>
                </c:pt>
                <c:pt idx="1">
                  <c:v>1.675</c:v>
                </c:pt>
                <c:pt idx="2">
                  <c:v>1.7749999999999999</c:v>
                </c:pt>
                <c:pt idx="3">
                  <c:v>1.95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9C-4283-B2DA-8A12DF4B6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Film Thickness (nm)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data!$E$3:$E$20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0.16500000000000001</c:v>
                      </c:pt>
                      <c:pt idx="1">
                        <c:v>0.26</c:v>
                      </c:pt>
                      <c:pt idx="2">
                        <c:v>0.37</c:v>
                      </c:pt>
                      <c:pt idx="3">
                        <c:v>0.46</c:v>
                      </c:pt>
                      <c:pt idx="4">
                        <c:v>0.45</c:v>
                      </c:pt>
                      <c:pt idx="5">
                        <c:v>0.47499999999999998</c:v>
                      </c:pt>
                      <c:pt idx="6">
                        <c:v>0.48</c:v>
                      </c:pt>
                      <c:pt idx="7">
                        <c:v>0.49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0.65</c:v>
                      </c:pt>
                      <c:pt idx="11">
                        <c:v>0.69</c:v>
                      </c:pt>
                      <c:pt idx="12">
                        <c:v>0.76</c:v>
                      </c:pt>
                      <c:pt idx="13">
                        <c:v>0.78</c:v>
                      </c:pt>
                      <c:pt idx="14">
                        <c:v>0.85</c:v>
                      </c:pt>
                      <c:pt idx="15">
                        <c:v>0.92</c:v>
                      </c:pt>
                      <c:pt idx="16">
                        <c:v>0.98</c:v>
                      </c:pt>
                      <c:pt idx="17">
                        <c:v>1.0549999999999999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D9C-4283-B2DA-8A12DF4B6430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Film Thickness (nm)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  <c:max val="2.200000000000000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O:Si Stoichiometric Ratio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7149587660565835"/>
          <c:y val="7.4972650263257667E-2"/>
          <c:w val="0.28838390274126541"/>
          <c:h val="0.15580808882320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29774683808464"/>
          <c:y val="6.2626311603098908E-2"/>
          <c:w val="0.75499460624677583"/>
          <c:h val="0.81213457408733003"/>
        </c:manualLayout>
      </c:layout>
      <c:scatterChart>
        <c:scatterStyle val="lineMarker"/>
        <c:varyColors val="0"/>
        <c:ser>
          <c:idx val="0"/>
          <c:order val="1"/>
          <c:tx>
            <c:v>O:Si Stoichiometric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xVal>
          <c:y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D-4388-8C24-19B886FBDEA1}"/>
            </c:ext>
          </c:extLst>
        </c:ser>
        <c:ser>
          <c:idx val="1"/>
          <c:order val="2"/>
          <c:tx>
            <c:v>series1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1"/>
            <c:dispRSqr val="1"/>
            <c:dispEq val="1"/>
            <c:trendlineLbl>
              <c:layout>
                <c:manualLayout>
                  <c:x val="4.0003642770278319E-2"/>
                  <c:y val="0.26593561778665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data!$E$3:$E$6</c:f>
              <c:numCache>
                <c:formatCode>General</c:formatCode>
                <c:ptCount val="4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</c:numCache>
            </c:numRef>
          </c:xVal>
          <c:yVal>
            <c:numRef>
              <c:f>data!$C$3:$C$6</c:f>
              <c:numCache>
                <c:formatCode>General</c:formatCode>
                <c:ptCount val="4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8D-4388-8C24-19B886FBDEA1}"/>
            </c:ext>
          </c:extLst>
        </c:ser>
        <c:ser>
          <c:idx val="3"/>
          <c:order val="3"/>
          <c:tx>
            <c:v>series2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2.0000000000000004E-2"/>
            <c:dispRSqr val="1"/>
            <c:dispEq val="1"/>
            <c:trendlineLbl>
              <c:layout>
                <c:manualLayout>
                  <c:x val="0.20159397747115101"/>
                  <c:y val="0.120497062624716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data!$E$6:$E$10</c:f>
              <c:numCache>
                <c:formatCode>General</c:formatCode>
                <c:ptCount val="5"/>
                <c:pt idx="0">
                  <c:v>0.46</c:v>
                </c:pt>
                <c:pt idx="1">
                  <c:v>0.45</c:v>
                </c:pt>
                <c:pt idx="2">
                  <c:v>0.47499999999999998</c:v>
                </c:pt>
                <c:pt idx="3">
                  <c:v>0.48</c:v>
                </c:pt>
                <c:pt idx="4">
                  <c:v>0.49</c:v>
                </c:pt>
              </c:numCache>
            </c:numRef>
          </c:xVal>
          <c:yVal>
            <c:numRef>
              <c:f>data!$C$6:$C$10</c:f>
              <c:numCache>
                <c:formatCode>General</c:formatCode>
                <c:ptCount val="5"/>
                <c:pt idx="0">
                  <c:v>1.6</c:v>
                </c:pt>
                <c:pt idx="1">
                  <c:v>1.675</c:v>
                </c:pt>
                <c:pt idx="2">
                  <c:v>1.7749999999999999</c:v>
                </c:pt>
                <c:pt idx="3">
                  <c:v>1.95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8D-4388-8C24-19B886FBD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Film Thickness (nm)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data!$E$3:$E$20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0.16500000000000001</c:v>
                      </c:pt>
                      <c:pt idx="1">
                        <c:v>0.26</c:v>
                      </c:pt>
                      <c:pt idx="2">
                        <c:v>0.37</c:v>
                      </c:pt>
                      <c:pt idx="3">
                        <c:v>0.46</c:v>
                      </c:pt>
                      <c:pt idx="4">
                        <c:v>0.45</c:v>
                      </c:pt>
                      <c:pt idx="5">
                        <c:v>0.47499999999999998</c:v>
                      </c:pt>
                      <c:pt idx="6">
                        <c:v>0.48</c:v>
                      </c:pt>
                      <c:pt idx="7">
                        <c:v>0.49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0.65</c:v>
                      </c:pt>
                      <c:pt idx="11">
                        <c:v>0.69</c:v>
                      </c:pt>
                      <c:pt idx="12">
                        <c:v>0.76</c:v>
                      </c:pt>
                      <c:pt idx="13">
                        <c:v>0.78</c:v>
                      </c:pt>
                      <c:pt idx="14">
                        <c:v>0.85</c:v>
                      </c:pt>
                      <c:pt idx="15">
                        <c:v>0.92</c:v>
                      </c:pt>
                      <c:pt idx="16">
                        <c:v>0.98</c:v>
                      </c:pt>
                      <c:pt idx="17">
                        <c:v>1.0549999999999999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058D-4388-8C24-19B886FBDEA1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  <c:max val="1.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Film Thickness (nm)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  <c:max val="2.200000000000000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O:Si Stoichiometric Ratio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6270059475496484"/>
          <c:y val="7.4972650263257667E-2"/>
          <c:w val="0.28838390274126541"/>
          <c:h val="0.15580808882320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29774683808464"/>
          <c:y val="6.2626311603098908E-2"/>
          <c:w val="0.75499460624677583"/>
          <c:h val="0.81213457408733003"/>
        </c:manualLayout>
      </c:layout>
      <c:scatterChart>
        <c:scatterStyle val="lineMarker"/>
        <c:varyColors val="0"/>
        <c:ser>
          <c:idx val="0"/>
          <c:order val="1"/>
          <c:tx>
            <c:v>O:Si Stoichiometric Ratio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data!$C$3:$C$20</c:f>
              <c:numCache>
                <c:formatCode>General</c:formatCode>
                <c:ptCount val="18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  <c:pt idx="3">
                  <c:v>1.6</c:v>
                </c:pt>
                <c:pt idx="4">
                  <c:v>1.675</c:v>
                </c:pt>
                <c:pt idx="5">
                  <c:v>1.7749999999999999</c:v>
                </c:pt>
                <c:pt idx="6">
                  <c:v>1.95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2.0499999999999998</c:v>
                </c:pt>
                <c:pt idx="11">
                  <c:v>2.0499999999999998</c:v>
                </c:pt>
                <c:pt idx="12">
                  <c:v>2</c:v>
                </c:pt>
                <c:pt idx="13">
                  <c:v>2.0499999999999998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</c:numCache>
            </c:numRef>
          </c:xVal>
          <c:yVal>
            <c:numRef>
              <c:f>data!$E$3:$E$20</c:f>
              <c:numCache>
                <c:formatCode>General</c:formatCode>
                <c:ptCount val="18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  <c:pt idx="3">
                  <c:v>0.46</c:v>
                </c:pt>
                <c:pt idx="4">
                  <c:v>0.45</c:v>
                </c:pt>
                <c:pt idx="5">
                  <c:v>0.47499999999999998</c:v>
                </c:pt>
                <c:pt idx="6">
                  <c:v>0.48</c:v>
                </c:pt>
                <c:pt idx="7">
                  <c:v>0.49</c:v>
                </c:pt>
                <c:pt idx="8">
                  <c:v>0.54</c:v>
                </c:pt>
                <c:pt idx="9">
                  <c:v>0.57999999999999996</c:v>
                </c:pt>
                <c:pt idx="10">
                  <c:v>0.65</c:v>
                </c:pt>
                <c:pt idx="11">
                  <c:v>0.69</c:v>
                </c:pt>
                <c:pt idx="12">
                  <c:v>0.76</c:v>
                </c:pt>
                <c:pt idx="13">
                  <c:v>0.78</c:v>
                </c:pt>
                <c:pt idx="14">
                  <c:v>0.85</c:v>
                </c:pt>
                <c:pt idx="15">
                  <c:v>0.92</c:v>
                </c:pt>
                <c:pt idx="16">
                  <c:v>0.98</c:v>
                </c:pt>
                <c:pt idx="17">
                  <c:v>1.0549999999999999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56-40DF-B669-3317A491BC92}"/>
            </c:ext>
          </c:extLst>
        </c:ser>
        <c:ser>
          <c:idx val="1"/>
          <c:order val="2"/>
          <c:tx>
            <c:v>series 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0.2"/>
            <c:dispRSqr val="1"/>
            <c:dispEq val="1"/>
            <c:trendlineLbl>
              <c:layout>
                <c:manualLayout>
                  <c:x val="0.10509149863292233"/>
                  <c:y val="0.268564924742169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data!$C$3:$C$5</c:f>
              <c:numCache>
                <c:formatCode>General</c:formatCode>
                <c:ptCount val="3"/>
                <c:pt idx="0">
                  <c:v>1.25</c:v>
                </c:pt>
                <c:pt idx="1">
                  <c:v>1.375</c:v>
                </c:pt>
                <c:pt idx="2">
                  <c:v>1.4</c:v>
                </c:pt>
              </c:numCache>
            </c:numRef>
          </c:xVal>
          <c:yVal>
            <c:numRef>
              <c:f>data!$E$3:$E$5</c:f>
              <c:numCache>
                <c:formatCode>General</c:formatCode>
                <c:ptCount val="3"/>
                <c:pt idx="0">
                  <c:v>0.16500000000000001</c:v>
                </c:pt>
                <c:pt idx="1">
                  <c:v>0.26</c:v>
                </c:pt>
                <c:pt idx="2">
                  <c:v>0.37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46-4063-962A-E064F08E8377}"/>
            </c:ext>
          </c:extLst>
        </c:ser>
        <c:ser>
          <c:idx val="3"/>
          <c:order val="3"/>
          <c:tx>
            <c:v>series 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1"/>
            <c:dispEq val="1"/>
            <c:trendlineLbl>
              <c:layout>
                <c:manualLayout>
                  <c:x val="-2.4275093331560426E-2"/>
                  <c:y val="-6.385970139303026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data!$C$6:$C$10</c:f>
              <c:numCache>
                <c:formatCode>General</c:formatCode>
                <c:ptCount val="5"/>
                <c:pt idx="0">
                  <c:v>1.6</c:v>
                </c:pt>
                <c:pt idx="1">
                  <c:v>1.675</c:v>
                </c:pt>
                <c:pt idx="2">
                  <c:v>1.7749999999999999</c:v>
                </c:pt>
                <c:pt idx="3">
                  <c:v>1.95</c:v>
                </c:pt>
                <c:pt idx="4">
                  <c:v>2</c:v>
                </c:pt>
              </c:numCache>
            </c:numRef>
          </c:xVal>
          <c:yVal>
            <c:numRef>
              <c:f>data!$E$6:$E$10</c:f>
              <c:numCache>
                <c:formatCode>General</c:formatCode>
                <c:ptCount val="5"/>
                <c:pt idx="0">
                  <c:v>0.46</c:v>
                </c:pt>
                <c:pt idx="1">
                  <c:v>0.45</c:v>
                </c:pt>
                <c:pt idx="2">
                  <c:v>0.47499999999999998</c:v>
                </c:pt>
                <c:pt idx="3">
                  <c:v>0.48</c:v>
                </c:pt>
                <c:pt idx="4">
                  <c:v>0.49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46-4063-962A-E064F08E8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65551"/>
        <c:axId val="70217315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Film Thickness (nm)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data!$E$3:$E$20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0.16500000000000001</c:v>
                      </c:pt>
                      <c:pt idx="1">
                        <c:v>0.26</c:v>
                      </c:pt>
                      <c:pt idx="2">
                        <c:v>0.37</c:v>
                      </c:pt>
                      <c:pt idx="3">
                        <c:v>0.46</c:v>
                      </c:pt>
                      <c:pt idx="4">
                        <c:v>0.45</c:v>
                      </c:pt>
                      <c:pt idx="5">
                        <c:v>0.47499999999999998</c:v>
                      </c:pt>
                      <c:pt idx="6">
                        <c:v>0.48</c:v>
                      </c:pt>
                      <c:pt idx="7">
                        <c:v>0.49</c:v>
                      </c:pt>
                      <c:pt idx="8">
                        <c:v>0.54</c:v>
                      </c:pt>
                      <c:pt idx="9">
                        <c:v>0.57999999999999996</c:v>
                      </c:pt>
                      <c:pt idx="10">
                        <c:v>0.65</c:v>
                      </c:pt>
                      <c:pt idx="11">
                        <c:v>0.69</c:v>
                      </c:pt>
                      <c:pt idx="12">
                        <c:v>0.76</c:v>
                      </c:pt>
                      <c:pt idx="13">
                        <c:v>0.78</c:v>
                      </c:pt>
                      <c:pt idx="14">
                        <c:v>0.85</c:v>
                      </c:pt>
                      <c:pt idx="15">
                        <c:v>0.92</c:v>
                      </c:pt>
                      <c:pt idx="16">
                        <c:v>0.98</c:v>
                      </c:pt>
                      <c:pt idx="17">
                        <c:v>1.0549999999999999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data!$B$3:$B$20</c15:sqref>
                        </c15:formulaRef>
                      </c:ext>
                    </c:extLst>
                    <c:numCache>
                      <c:formatCode>General</c:formatCode>
                      <c:ptCount val="18"/>
                      <c:pt idx="0">
                        <c:v>1144</c:v>
                      </c:pt>
                      <c:pt idx="1">
                        <c:v>1182</c:v>
                      </c:pt>
                      <c:pt idx="2">
                        <c:v>1192</c:v>
                      </c:pt>
                      <c:pt idx="3">
                        <c:v>1217</c:v>
                      </c:pt>
                      <c:pt idx="4">
                        <c:v>1220</c:v>
                      </c:pt>
                      <c:pt idx="5">
                        <c:v>1228</c:v>
                      </c:pt>
                      <c:pt idx="6">
                        <c:v>1235</c:v>
                      </c:pt>
                      <c:pt idx="7">
                        <c:v>1234</c:v>
                      </c:pt>
                      <c:pt idx="8">
                        <c:v>1236</c:v>
                      </c:pt>
                      <c:pt idx="9">
                        <c:v>1237</c:v>
                      </c:pt>
                      <c:pt idx="10">
                        <c:v>1239</c:v>
                      </c:pt>
                      <c:pt idx="11">
                        <c:v>1239</c:v>
                      </c:pt>
                      <c:pt idx="12">
                        <c:v>1239</c:v>
                      </c:pt>
                      <c:pt idx="13">
                        <c:v>1239</c:v>
                      </c:pt>
                      <c:pt idx="14">
                        <c:v>1238</c:v>
                      </c:pt>
                      <c:pt idx="15">
                        <c:v>1238</c:v>
                      </c:pt>
                      <c:pt idx="16">
                        <c:v>1238</c:v>
                      </c:pt>
                      <c:pt idx="17">
                        <c:v>1237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956-40DF-B669-3317A491BC92}"/>
                  </c:ext>
                </c:extLst>
              </c15:ser>
            </c15:filteredScatterSeries>
          </c:ext>
        </c:extLst>
      </c:scatterChart>
      <c:valAx>
        <c:axId val="395365551"/>
        <c:scaling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O:Si Stoichiometric Ratio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3151"/>
        <c:crosses val="autoZero"/>
        <c:crossBetween val="midCat"/>
      </c:valAx>
      <c:valAx>
        <c:axId val="702173151"/>
        <c:scaling>
          <c:orientation val="minMax"/>
          <c:max val="1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chemeClr val="tx1"/>
                    </a:solidFill>
                  </a:rPr>
                  <a:t>Film Thickness (nm)</a:t>
                </a:r>
                <a:endParaRPr lang="en-US" sz="1800" b="1" i="0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in"/>
        <c:minorTickMark val="in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65551"/>
        <c:crosses val="autoZero"/>
        <c:crossBetween val="midCat"/>
        <c:majorUnit val="0.2"/>
      </c:valAx>
      <c:spPr>
        <a:noFill/>
        <a:ln w="2540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8175703876480076"/>
          <c:y val="7.9023872384589217E-2"/>
          <c:w val="0.27293548649220145"/>
          <c:h val="0.188217865793856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D01F8A9-CD31-4698-95D0-46FFBE19CBA3}">
  <sheetPr/>
  <sheetViews>
    <sheetView zoomScale="8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DB398D-A8BE-45FD-AF06-CC852E39DB74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3AB6FB-7AA8-4378-A526-E63572E17C78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712C11-5A49-4F98-94AD-CA876334CB12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23E5FE-A6F9-48FB-ADAE-F08DB6B2E795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A526C9-26F2-45F2-9740-B7D47FA54BC1}">
  <sheetPr/>
  <sheetViews>
    <sheetView tabSelected="1" zoomScale="7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C1C8B10-1B6D-4392-A1B7-7F43E436812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6E9F208-F80B-411B-822B-4E60B3C59802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F8C30F-66F0-4198-9BB5-204E0C85A43E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3E45493-2F62-4CD9-828E-7560964C3757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DF048F8-79BD-4284-A7C1-DE82DD7B58F8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83B59C-504F-4FAE-915A-463F04825036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2960D2-490F-4175-B169-BE432968E2CB}">
  <sheetPr/>
  <sheetViews>
    <sheetView zoomScale="79" workbookViewId="0" zoomToFit="1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B6179D-26C9-42FD-BA3A-BF00925D53A3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44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BE09A-0CA7-3DEE-DFA0-2E91119F883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F1836-3BD3-35D2-3690-9CE0948776E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C8764-01B4-15D6-F916-65AD442DEF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039115-6656-0006-A285-0FB280DB00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CE47B-D45F-5EB1-378B-E8430536D5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5300E-BEC8-AF8D-F8C5-A64A66C20A4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A7434-0202-9974-34CC-8692F1A76CF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D265D8-2241-C69B-236C-6EC460EF34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B28973-29F5-85E4-EBC7-BE5D39C5E85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2DBB5-1F05-7309-0AF4-02A2BE6C54A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D5B5A8-E05F-2088-D85A-4F40547983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6559F9-06EE-64E5-810F-F990F3A1F4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ACDFA-4BDE-E04D-6235-364CB35B24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4937" cy="62937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ED3903-6E58-70A4-1A15-085F32DFCC5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1648-BB2A-4DB3-9DB1-F889D86E4567}">
  <dimension ref="A1:Q36"/>
  <sheetViews>
    <sheetView workbookViewId="0">
      <selection activeCell="H23" sqref="H23"/>
    </sheetView>
  </sheetViews>
  <sheetFormatPr defaultRowHeight="14.5" x14ac:dyDescent="0.35"/>
  <cols>
    <col min="1" max="8" width="10.54296875" customWidth="1"/>
    <col min="9" max="9" width="13.7265625" customWidth="1"/>
    <col min="10" max="10" width="15.81640625" customWidth="1"/>
    <col min="11" max="11" width="17.453125" customWidth="1"/>
    <col min="12" max="12" width="16.7265625" customWidth="1"/>
    <col min="13" max="13" width="5.54296875" customWidth="1"/>
    <col min="14" max="15" width="10.54296875" customWidth="1"/>
  </cols>
  <sheetData>
    <row r="1" spans="1:17" x14ac:dyDescent="0.35">
      <c r="I1" s="2" t="s">
        <v>67</v>
      </c>
      <c r="N1" s="1" t="s">
        <v>5</v>
      </c>
    </row>
    <row r="2" spans="1:17" s="1" customFormat="1" ht="16.5" x14ac:dyDescent="0.35">
      <c r="A2" s="1" t="s">
        <v>0</v>
      </c>
      <c r="B2" s="1" t="s">
        <v>1</v>
      </c>
      <c r="C2" s="1" t="s">
        <v>2</v>
      </c>
      <c r="D2" s="1" t="s">
        <v>24</v>
      </c>
      <c r="E2" s="1" t="s">
        <v>25</v>
      </c>
      <c r="F2" s="1" t="s">
        <v>71</v>
      </c>
      <c r="G2" s="4" t="s">
        <v>26</v>
      </c>
      <c r="H2" s="4" t="s">
        <v>27</v>
      </c>
      <c r="I2" s="2" t="s">
        <v>28</v>
      </c>
      <c r="J2" s="2" t="s">
        <v>68</v>
      </c>
      <c r="K2" s="2" t="s">
        <v>69</v>
      </c>
      <c r="L2" s="2" t="s">
        <v>70</v>
      </c>
      <c r="N2" s="1" t="s">
        <v>2</v>
      </c>
      <c r="O2" s="1" t="s">
        <v>8</v>
      </c>
      <c r="P2" s="1" t="s">
        <v>9</v>
      </c>
      <c r="Q2" s="1" t="s">
        <v>10</v>
      </c>
    </row>
    <row r="3" spans="1:17" x14ac:dyDescent="0.35">
      <c r="A3">
        <v>1</v>
      </c>
      <c r="B3">
        <v>1144</v>
      </c>
      <c r="C3" s="6">
        <v>1.25</v>
      </c>
      <c r="D3">
        <v>16.5</v>
      </c>
      <c r="E3">
        <f>(D3/100)</f>
        <v>0.16500000000000001</v>
      </c>
      <c r="F3">
        <f>(E3/1000000000)*1000000</f>
        <v>1.65E-4</v>
      </c>
      <c r="I3" s="5">
        <f>'data (Allison)'!B13</f>
        <v>5.7570877500000002E-4</v>
      </c>
      <c r="J3" s="5">
        <f>'data (Allison)'!B105</f>
        <v>1.3483704235294114E-3</v>
      </c>
      <c r="K3" s="5">
        <f>J3-I3</f>
        <v>7.7266164852941139E-4</v>
      </c>
      <c r="L3" s="5">
        <f>K3/E3</f>
        <v>4.6827978698752203E-3</v>
      </c>
      <c r="N3" s="3">
        <v>0.93</v>
      </c>
      <c r="O3">
        <v>101.9</v>
      </c>
      <c r="P3">
        <v>0</v>
      </c>
      <c r="Q3">
        <v>99.8</v>
      </c>
    </row>
    <row r="4" spans="1:17" x14ac:dyDescent="0.35">
      <c r="A4">
        <v>2</v>
      </c>
      <c r="B4">
        <v>1182</v>
      </c>
      <c r="C4">
        <v>1.375</v>
      </c>
      <c r="D4">
        <v>26</v>
      </c>
      <c r="E4">
        <f t="shared" ref="E4:E20" si="0">(D4/100)</f>
        <v>0.26</v>
      </c>
      <c r="F4">
        <f t="shared" ref="F4:F20" si="1">(E4/1000000000)*1000000</f>
        <v>2.6000000000000003E-4</v>
      </c>
      <c r="G4">
        <f>E4-E3</f>
        <v>9.5000000000000001E-2</v>
      </c>
      <c r="H4">
        <f>C4-C3</f>
        <v>0.125</v>
      </c>
      <c r="I4" s="5">
        <f>'data (Allison)'!C13</f>
        <v>6.723418750000001E-4</v>
      </c>
      <c r="J4" s="5">
        <f>'data (Allison)'!C105</f>
        <v>1.6820195529411764E-3</v>
      </c>
      <c r="K4" s="5">
        <f t="shared" ref="K4:K20" si="2">J4-I4</f>
        <v>1.0096776779411763E-3</v>
      </c>
      <c r="L4" s="5">
        <f t="shared" ref="L4:L20" si="3">K4/E4</f>
        <v>3.8833756843891397E-3</v>
      </c>
      <c r="N4" s="3">
        <v>1.05</v>
      </c>
      <c r="O4">
        <v>102.2</v>
      </c>
      <c r="P4">
        <v>0.5</v>
      </c>
      <c r="Q4">
        <v>100.7</v>
      </c>
    </row>
    <row r="5" spans="1:17" x14ac:dyDescent="0.35">
      <c r="A5">
        <v>3</v>
      </c>
      <c r="B5">
        <v>1192</v>
      </c>
      <c r="C5" s="6">
        <v>1.4</v>
      </c>
      <c r="D5">
        <v>37</v>
      </c>
      <c r="E5">
        <f t="shared" si="0"/>
        <v>0.37</v>
      </c>
      <c r="F5">
        <f t="shared" si="1"/>
        <v>3.6999999999999999E-4</v>
      </c>
      <c r="G5">
        <f t="shared" ref="G5:G20" si="4">E5-E4</f>
        <v>0.10999999999999999</v>
      </c>
      <c r="H5">
        <f t="shared" ref="H5:H20" si="5">C5-C4</f>
        <v>2.4999999999999911E-2</v>
      </c>
      <c r="I5" s="5">
        <f>'data (Allison)'!D13</f>
        <v>2.3642968750000005E-3</v>
      </c>
      <c r="J5" s="5">
        <f>'data (Allison)'!D105</f>
        <v>3.3849660000000018E-3</v>
      </c>
      <c r="K5" s="5">
        <f t="shared" si="2"/>
        <v>1.0206691250000013E-3</v>
      </c>
      <c r="L5" s="5">
        <f t="shared" si="3"/>
        <v>2.7585652027027063E-3</v>
      </c>
      <c r="N5" s="3">
        <v>1.24</v>
      </c>
      <c r="O5">
        <v>102.4</v>
      </c>
      <c r="P5">
        <v>1</v>
      </c>
      <c r="Q5">
        <v>101.5</v>
      </c>
    </row>
    <row r="6" spans="1:17" x14ac:dyDescent="0.35">
      <c r="A6">
        <v>4</v>
      </c>
      <c r="B6">
        <v>1217</v>
      </c>
      <c r="C6" s="6">
        <v>1.6</v>
      </c>
      <c r="D6">
        <v>46</v>
      </c>
      <c r="E6">
        <f t="shared" si="0"/>
        <v>0.46</v>
      </c>
      <c r="F6">
        <f t="shared" si="1"/>
        <v>4.6000000000000001E-4</v>
      </c>
      <c r="G6">
        <f t="shared" si="4"/>
        <v>9.0000000000000024E-2</v>
      </c>
      <c r="H6">
        <f t="shared" si="5"/>
        <v>0.20000000000000018</v>
      </c>
      <c r="I6" s="5">
        <f>'data (Allison)'!E13</f>
        <v>-6.1782894999999995E-4</v>
      </c>
      <c r="J6" s="5">
        <f>'data (Allison)'!E105</f>
        <v>6.1371262705882358E-4</v>
      </c>
      <c r="K6" s="5">
        <f t="shared" si="2"/>
        <v>1.2315415770588235E-3</v>
      </c>
      <c r="L6" s="5">
        <f t="shared" si="3"/>
        <v>2.677264297953964E-3</v>
      </c>
      <c r="N6" s="3">
        <v>1.35</v>
      </c>
      <c r="O6">
        <v>102.7</v>
      </c>
      <c r="P6">
        <v>1.5</v>
      </c>
      <c r="Q6">
        <v>102.5</v>
      </c>
    </row>
    <row r="7" spans="1:17" x14ac:dyDescent="0.35">
      <c r="A7">
        <v>5</v>
      </c>
      <c r="B7">
        <v>1220</v>
      </c>
      <c r="C7">
        <v>1.675</v>
      </c>
      <c r="D7">
        <v>45</v>
      </c>
      <c r="E7">
        <f t="shared" si="0"/>
        <v>0.45</v>
      </c>
      <c r="F7">
        <f t="shared" si="1"/>
        <v>4.4999999999999999E-4</v>
      </c>
      <c r="G7">
        <f t="shared" si="4"/>
        <v>-1.0000000000000009E-2</v>
      </c>
      <c r="H7">
        <f t="shared" si="5"/>
        <v>7.4999999999999956E-2</v>
      </c>
      <c r="I7" s="5">
        <f>'data (Allison)'!F13</f>
        <v>4.5872386249999999E-4</v>
      </c>
      <c r="J7" s="5">
        <f>'data (Allison)'!F105</f>
        <v>1.5937108823529415E-3</v>
      </c>
      <c r="K7" s="5">
        <f t="shared" si="2"/>
        <v>1.1349870198529414E-3</v>
      </c>
      <c r="L7" s="5">
        <f t="shared" si="3"/>
        <v>2.5221933774509809E-3</v>
      </c>
      <c r="N7" s="3">
        <v>1.49</v>
      </c>
      <c r="O7">
        <v>102.8</v>
      </c>
      <c r="P7">
        <v>2</v>
      </c>
      <c r="Q7">
        <v>103.5</v>
      </c>
    </row>
    <row r="8" spans="1:17" x14ac:dyDescent="0.35">
      <c r="A8">
        <v>6</v>
      </c>
      <c r="B8">
        <v>1228</v>
      </c>
      <c r="C8">
        <v>1.7749999999999999</v>
      </c>
      <c r="D8">
        <v>47.5</v>
      </c>
      <c r="E8">
        <f t="shared" si="0"/>
        <v>0.47499999999999998</v>
      </c>
      <c r="F8">
        <f t="shared" si="1"/>
        <v>4.75E-4</v>
      </c>
      <c r="G8">
        <f t="shared" si="4"/>
        <v>2.4999999999999967E-2</v>
      </c>
      <c r="H8">
        <f t="shared" si="5"/>
        <v>9.9999999999999867E-2</v>
      </c>
      <c r="I8" s="5">
        <f>'data (Allison)'!G13</f>
        <v>-6.1093866249999995E-4</v>
      </c>
      <c r="J8" s="5">
        <f>'data (Allison)'!G105</f>
        <v>5.418000952941177E-4</v>
      </c>
      <c r="K8" s="5">
        <f t="shared" si="2"/>
        <v>1.1527387577941178E-3</v>
      </c>
      <c r="L8" s="5">
        <f t="shared" si="3"/>
        <v>2.4268184374613005E-3</v>
      </c>
      <c r="N8" s="3">
        <v>1.78</v>
      </c>
      <c r="O8">
        <v>103.1</v>
      </c>
    </row>
    <row r="9" spans="1:17" x14ac:dyDescent="0.35">
      <c r="A9">
        <v>7</v>
      </c>
      <c r="B9">
        <v>1235</v>
      </c>
      <c r="C9" s="6">
        <v>1.95</v>
      </c>
      <c r="D9">
        <v>48</v>
      </c>
      <c r="E9">
        <f t="shared" si="0"/>
        <v>0.48</v>
      </c>
      <c r="F9">
        <f t="shared" si="1"/>
        <v>4.8000000000000001E-4</v>
      </c>
      <c r="G9">
        <f t="shared" si="4"/>
        <v>5.0000000000000044E-3</v>
      </c>
      <c r="H9">
        <f t="shared" si="5"/>
        <v>0.17500000000000004</v>
      </c>
      <c r="I9" s="5">
        <f>'data (Allison)'!H13</f>
        <v>-1.3240848750000001E-3</v>
      </c>
      <c r="J9" s="5">
        <f>'data (Allison)'!H105</f>
        <v>2.4793755161176468E-5</v>
      </c>
      <c r="K9" s="5">
        <f t="shared" si="2"/>
        <v>1.3488786301611765E-3</v>
      </c>
      <c r="L9" s="5">
        <f t="shared" si="3"/>
        <v>2.8101638128357844E-3</v>
      </c>
      <c r="N9" s="3">
        <v>1.91</v>
      </c>
      <c r="O9">
        <v>103.2</v>
      </c>
    </row>
    <row r="10" spans="1:17" x14ac:dyDescent="0.35">
      <c r="A10">
        <v>8</v>
      </c>
      <c r="B10">
        <v>1234</v>
      </c>
      <c r="C10" s="6">
        <v>2</v>
      </c>
      <c r="D10">
        <v>49</v>
      </c>
      <c r="E10">
        <f t="shared" si="0"/>
        <v>0.49</v>
      </c>
      <c r="F10">
        <f t="shared" si="1"/>
        <v>4.8999999999999998E-4</v>
      </c>
      <c r="G10">
        <f t="shared" si="4"/>
        <v>1.0000000000000009E-2</v>
      </c>
      <c r="H10">
        <f t="shared" si="5"/>
        <v>5.0000000000000044E-2</v>
      </c>
      <c r="I10" s="5">
        <f>'data (Allison)'!I13</f>
        <v>4.5813203749999996E-3</v>
      </c>
      <c r="J10" s="5">
        <f>'data (Allison)'!I105</f>
        <v>6.1572300470588244E-3</v>
      </c>
      <c r="K10" s="5">
        <f t="shared" si="2"/>
        <v>1.5759096720588247E-3</v>
      </c>
      <c r="L10" s="5">
        <f t="shared" si="3"/>
        <v>3.2161421878751525E-3</v>
      </c>
      <c r="N10" s="3">
        <v>2</v>
      </c>
      <c r="O10">
        <v>103.8</v>
      </c>
    </row>
    <row r="11" spans="1:17" x14ac:dyDescent="0.35">
      <c r="A11">
        <v>9</v>
      </c>
      <c r="B11">
        <v>1236</v>
      </c>
      <c r="C11" s="6">
        <v>2</v>
      </c>
      <c r="D11">
        <v>54</v>
      </c>
      <c r="E11">
        <f t="shared" si="0"/>
        <v>0.54</v>
      </c>
      <c r="F11">
        <f t="shared" si="1"/>
        <v>5.4000000000000001E-4</v>
      </c>
      <c r="G11">
        <f t="shared" si="4"/>
        <v>5.0000000000000044E-2</v>
      </c>
      <c r="H11">
        <f t="shared" si="5"/>
        <v>0</v>
      </c>
      <c r="I11" s="5">
        <f>'data (Allison)'!J13</f>
        <v>8.855923625E-4</v>
      </c>
      <c r="J11" s="5">
        <f>'data (Allison)'!J105</f>
        <v>2.2727569764705875E-3</v>
      </c>
      <c r="K11" s="5">
        <f t="shared" si="2"/>
        <v>1.3871646139705875E-3</v>
      </c>
      <c r="L11" s="5">
        <f t="shared" si="3"/>
        <v>2.5688233592047914E-3</v>
      </c>
      <c r="N11" s="3">
        <v>2.08</v>
      </c>
      <c r="O11">
        <v>103.7</v>
      </c>
    </row>
    <row r="12" spans="1:17" x14ac:dyDescent="0.35">
      <c r="A12">
        <v>10</v>
      </c>
      <c r="B12">
        <v>1237</v>
      </c>
      <c r="C12" s="6">
        <v>2</v>
      </c>
      <c r="D12">
        <v>58</v>
      </c>
      <c r="E12">
        <f t="shared" si="0"/>
        <v>0.57999999999999996</v>
      </c>
      <c r="F12">
        <f t="shared" si="1"/>
        <v>5.8E-4</v>
      </c>
      <c r="G12">
        <f t="shared" si="4"/>
        <v>3.9999999999999925E-2</v>
      </c>
      <c r="H12">
        <f t="shared" si="5"/>
        <v>0</v>
      </c>
      <c r="I12" s="5">
        <f>'data (Allison)'!K13</f>
        <v>1.452327375E-3</v>
      </c>
      <c r="J12" s="5">
        <f>'data (Allison)'!K105</f>
        <v>2.9517346352941174E-3</v>
      </c>
      <c r="K12" s="5">
        <f t="shared" si="2"/>
        <v>1.4994072602941173E-3</v>
      </c>
      <c r="L12" s="5">
        <f t="shared" si="3"/>
        <v>2.5851849315415816E-3</v>
      </c>
    </row>
    <row r="13" spans="1:17" x14ac:dyDescent="0.35">
      <c r="A13">
        <v>11</v>
      </c>
      <c r="B13">
        <v>1239</v>
      </c>
      <c r="C13">
        <v>2.0499999999999998</v>
      </c>
      <c r="D13">
        <v>65</v>
      </c>
      <c r="E13">
        <f t="shared" si="0"/>
        <v>0.65</v>
      </c>
      <c r="F13">
        <f t="shared" si="1"/>
        <v>6.5000000000000008E-4</v>
      </c>
      <c r="G13">
        <f t="shared" si="4"/>
        <v>7.0000000000000062E-2</v>
      </c>
      <c r="H13">
        <f t="shared" si="5"/>
        <v>4.9999999999999822E-2</v>
      </c>
      <c r="I13" s="5">
        <f>'data (Allison)'!L13</f>
        <v>-7.5280676249999995E-4</v>
      </c>
      <c r="J13" s="5">
        <f>'data (Allison)'!L105</f>
        <v>8.7734002470588274E-4</v>
      </c>
      <c r="K13" s="5">
        <f t="shared" si="2"/>
        <v>1.6301467872058828E-3</v>
      </c>
      <c r="L13" s="5">
        <f t="shared" si="3"/>
        <v>2.5079181341628965E-3</v>
      </c>
    </row>
    <row r="14" spans="1:17" x14ac:dyDescent="0.35">
      <c r="A14">
        <v>12</v>
      </c>
      <c r="B14">
        <v>1239</v>
      </c>
      <c r="C14">
        <v>2.0499999999999998</v>
      </c>
      <c r="D14">
        <v>69</v>
      </c>
      <c r="E14">
        <f t="shared" si="0"/>
        <v>0.69</v>
      </c>
      <c r="F14">
        <f t="shared" si="1"/>
        <v>6.8999999999999997E-4</v>
      </c>
      <c r="G14">
        <f t="shared" si="4"/>
        <v>3.9999999999999925E-2</v>
      </c>
      <c r="H14">
        <f t="shared" si="5"/>
        <v>0</v>
      </c>
      <c r="I14" s="5">
        <f>'data (Allison)'!M13</f>
        <v>-3.1489040000000004E-4</v>
      </c>
      <c r="J14" s="5">
        <f>'data (Allison)'!M105</f>
        <v>1.2884639647058823E-3</v>
      </c>
      <c r="K14" s="5">
        <f t="shared" si="2"/>
        <v>1.6033543647058824E-3</v>
      </c>
      <c r="L14" s="5">
        <f t="shared" si="3"/>
        <v>2.3237019778346124E-3</v>
      </c>
    </row>
    <row r="15" spans="1:17" x14ac:dyDescent="0.35">
      <c r="A15">
        <v>13</v>
      </c>
      <c r="B15">
        <v>1239</v>
      </c>
      <c r="C15" s="6">
        <v>2</v>
      </c>
      <c r="D15">
        <v>76</v>
      </c>
      <c r="E15">
        <f t="shared" si="0"/>
        <v>0.76</v>
      </c>
      <c r="F15">
        <f t="shared" si="1"/>
        <v>7.5999999999999993E-4</v>
      </c>
      <c r="G15">
        <f t="shared" si="4"/>
        <v>7.0000000000000062E-2</v>
      </c>
      <c r="H15">
        <f t="shared" si="5"/>
        <v>-4.9999999999999822E-2</v>
      </c>
      <c r="I15" s="5">
        <f>'data (Allison)'!N13</f>
        <v>5.6670528749999997E-4</v>
      </c>
      <c r="J15" s="5">
        <f>'data (Allison)'!N105</f>
        <v>2.2717806470588238E-3</v>
      </c>
      <c r="K15" s="5">
        <f t="shared" si="2"/>
        <v>1.7050753595588238E-3</v>
      </c>
      <c r="L15" s="5">
        <f t="shared" si="3"/>
        <v>2.2435202099458209E-3</v>
      </c>
    </row>
    <row r="16" spans="1:17" x14ac:dyDescent="0.35">
      <c r="A16">
        <v>14</v>
      </c>
      <c r="B16">
        <v>1239</v>
      </c>
      <c r="C16">
        <v>2.0499999999999998</v>
      </c>
      <c r="D16">
        <v>78</v>
      </c>
      <c r="E16">
        <f t="shared" si="0"/>
        <v>0.78</v>
      </c>
      <c r="F16">
        <f t="shared" si="1"/>
        <v>7.7999999999999999E-4</v>
      </c>
      <c r="G16">
        <f t="shared" si="4"/>
        <v>2.0000000000000018E-2</v>
      </c>
      <c r="H16">
        <f t="shared" si="5"/>
        <v>4.9999999999999822E-2</v>
      </c>
      <c r="I16" s="5">
        <f>'data (Allison)'!O13</f>
        <v>3.0334051249999999E-4</v>
      </c>
      <c r="J16" s="5">
        <f>'data (Allison)'!O105</f>
        <v>2.1334667411764688E-3</v>
      </c>
      <c r="K16" s="5">
        <f t="shared" si="2"/>
        <v>1.8301262286764689E-3</v>
      </c>
      <c r="L16" s="5">
        <f t="shared" si="3"/>
        <v>2.3463156777903445E-3</v>
      </c>
    </row>
    <row r="17" spans="1:12" x14ac:dyDescent="0.35">
      <c r="A17">
        <v>15</v>
      </c>
      <c r="B17">
        <v>1238</v>
      </c>
      <c r="C17" s="6">
        <v>2</v>
      </c>
      <c r="D17">
        <v>85</v>
      </c>
      <c r="E17">
        <f t="shared" si="0"/>
        <v>0.85</v>
      </c>
      <c r="F17">
        <f t="shared" si="1"/>
        <v>8.4999999999999995E-4</v>
      </c>
      <c r="G17">
        <f t="shared" si="4"/>
        <v>6.9999999999999951E-2</v>
      </c>
      <c r="H17">
        <f t="shared" si="5"/>
        <v>-4.9999999999999822E-2</v>
      </c>
      <c r="I17" s="5">
        <f>'data (Allison)'!P13</f>
        <v>4.6899656249999998E-4</v>
      </c>
      <c r="J17" s="5">
        <f>'data (Allison)'!P105</f>
        <v>2.3690783647058824E-3</v>
      </c>
      <c r="K17" s="5">
        <f t="shared" si="2"/>
        <v>1.9000818022058825E-3</v>
      </c>
      <c r="L17" s="5">
        <f t="shared" si="3"/>
        <v>2.2353903555363324E-3</v>
      </c>
    </row>
    <row r="18" spans="1:12" x14ac:dyDescent="0.35">
      <c r="A18">
        <v>16</v>
      </c>
      <c r="B18">
        <v>1238</v>
      </c>
      <c r="C18" s="6">
        <v>2</v>
      </c>
      <c r="D18">
        <v>92</v>
      </c>
      <c r="E18">
        <f t="shared" si="0"/>
        <v>0.92</v>
      </c>
      <c r="F18">
        <f t="shared" si="1"/>
        <v>9.2000000000000003E-4</v>
      </c>
      <c r="G18">
        <f t="shared" si="4"/>
        <v>7.0000000000000062E-2</v>
      </c>
      <c r="H18">
        <f t="shared" si="5"/>
        <v>0</v>
      </c>
      <c r="I18" s="5">
        <f>'data (Allison)'!Q13</f>
        <v>-3.3343605000000001E-4</v>
      </c>
      <c r="J18" s="5">
        <f>'data (Allison)'!Q105</f>
        <v>1.8389160235294116E-3</v>
      </c>
      <c r="K18" s="5">
        <f t="shared" si="2"/>
        <v>2.1723520735294115E-3</v>
      </c>
      <c r="L18" s="5">
        <f t="shared" si="3"/>
        <v>2.3612522538363169E-3</v>
      </c>
    </row>
    <row r="19" spans="1:12" x14ac:dyDescent="0.35">
      <c r="A19">
        <v>17</v>
      </c>
      <c r="B19">
        <v>1238</v>
      </c>
      <c r="C19" s="6">
        <v>2</v>
      </c>
      <c r="D19">
        <v>98</v>
      </c>
      <c r="E19">
        <f t="shared" si="0"/>
        <v>0.98</v>
      </c>
      <c r="F19">
        <f t="shared" si="1"/>
        <v>9.7999999999999997E-4</v>
      </c>
      <c r="G19">
        <f t="shared" si="4"/>
        <v>5.9999999999999942E-2</v>
      </c>
      <c r="H19">
        <f t="shared" si="5"/>
        <v>0</v>
      </c>
      <c r="I19" s="5">
        <f>'data (Allison)'!R13</f>
        <v>-1.7766113750000002E-3</v>
      </c>
      <c r="J19" s="5">
        <f>'data (Allison)'!R105</f>
        <v>2.8556409411764709E-4</v>
      </c>
      <c r="K19" s="5">
        <f t="shared" si="2"/>
        <v>2.0621754691176474E-3</v>
      </c>
      <c r="L19" s="5">
        <f t="shared" si="3"/>
        <v>2.1042606827731095E-3</v>
      </c>
    </row>
    <row r="20" spans="1:12" x14ac:dyDescent="0.35">
      <c r="A20">
        <v>18</v>
      </c>
      <c r="B20">
        <v>1237</v>
      </c>
      <c r="C20" s="6">
        <v>2</v>
      </c>
      <c r="D20">
        <v>105.5</v>
      </c>
      <c r="E20">
        <f t="shared" si="0"/>
        <v>1.0549999999999999</v>
      </c>
      <c r="F20">
        <f t="shared" si="1"/>
        <v>1.0549999999999999E-3</v>
      </c>
      <c r="G20">
        <f t="shared" si="4"/>
        <v>7.4999999999999956E-2</v>
      </c>
      <c r="H20">
        <f t="shared" si="5"/>
        <v>0</v>
      </c>
      <c r="I20" s="5">
        <f>'data (Allison)'!S13</f>
        <v>-1.60188995E-4</v>
      </c>
      <c r="J20" s="5">
        <f>'data (Allison)'!S105</f>
        <v>2.0041284941176483E-3</v>
      </c>
      <c r="K20" s="5">
        <f t="shared" si="2"/>
        <v>2.1643174891176481E-3</v>
      </c>
      <c r="L20" s="5">
        <f t="shared" si="3"/>
        <v>2.0514857716754961E-3</v>
      </c>
    </row>
    <row r="21" spans="1:12" x14ac:dyDescent="0.35">
      <c r="E21" s="5"/>
      <c r="F21" s="5"/>
    </row>
    <row r="23" spans="1:12" x14ac:dyDescent="0.35">
      <c r="D23">
        <f>314.84-49</f>
        <v>265.83999999999997</v>
      </c>
    </row>
    <row r="24" spans="1:12" x14ac:dyDescent="0.35">
      <c r="D24">
        <f>1139.04-750.26</f>
        <v>388.78</v>
      </c>
    </row>
    <row r="25" spans="1:12" x14ac:dyDescent="0.35">
      <c r="A25" t="s">
        <v>3</v>
      </c>
      <c r="D25">
        <f>D24/D23</f>
        <v>1.4624586217273547</v>
      </c>
    </row>
    <row r="28" spans="1:12" x14ac:dyDescent="0.35">
      <c r="A28" t="s">
        <v>4</v>
      </c>
      <c r="D28">
        <f>314.84+750.26</f>
        <v>1065.0999999999999</v>
      </c>
    </row>
    <row r="30" spans="1:12" s="2" customFormat="1" x14ac:dyDescent="0.35">
      <c r="A30" s="2" t="s">
        <v>6</v>
      </c>
      <c r="D30" s="2" t="s">
        <v>7</v>
      </c>
    </row>
    <row r="32" spans="1:12" x14ac:dyDescent="0.35">
      <c r="B32" t="s">
        <v>16</v>
      </c>
      <c r="C32" t="s">
        <v>11</v>
      </c>
      <c r="D32" t="s">
        <v>18</v>
      </c>
      <c r="E32" t="s">
        <v>22</v>
      </c>
    </row>
    <row r="33" spans="1:5" x14ac:dyDescent="0.35">
      <c r="A33" t="s">
        <v>12</v>
      </c>
      <c r="B33">
        <v>44.08</v>
      </c>
      <c r="C33">
        <v>2.13</v>
      </c>
      <c r="D33" t="s">
        <v>21</v>
      </c>
      <c r="E33" t="s">
        <v>15</v>
      </c>
    </row>
    <row r="34" spans="1:5" x14ac:dyDescent="0.35">
      <c r="A34" t="s">
        <v>13</v>
      </c>
      <c r="B34">
        <v>104.1692</v>
      </c>
      <c r="C34">
        <v>1.74</v>
      </c>
      <c r="D34" t="s">
        <v>21</v>
      </c>
      <c r="E34" t="s">
        <v>23</v>
      </c>
    </row>
    <row r="35" spans="1:5" x14ac:dyDescent="0.35">
      <c r="A35" t="s">
        <v>14</v>
      </c>
      <c r="B35">
        <v>60.084299999999999</v>
      </c>
      <c r="C35">
        <v>2.1960000000000002</v>
      </c>
      <c r="D35" t="s">
        <v>19</v>
      </c>
      <c r="E35" t="s">
        <v>17</v>
      </c>
    </row>
    <row r="36" spans="1:5" x14ac:dyDescent="0.35">
      <c r="C36">
        <v>2.6480000000000001</v>
      </c>
      <c r="D36" t="s">
        <v>20</v>
      </c>
      <c r="E3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0649-D870-41F7-B435-4EBB6DF08FF0}">
  <dimension ref="A1:S105"/>
  <sheetViews>
    <sheetView workbookViewId="0">
      <selection activeCell="E115" sqref="E115"/>
    </sheetView>
  </sheetViews>
  <sheetFormatPr defaultRowHeight="14.5" x14ac:dyDescent="0.35"/>
  <cols>
    <col min="1" max="1" width="12.54296875" customWidth="1"/>
  </cols>
  <sheetData>
    <row r="1" spans="1:19" x14ac:dyDescent="0.35">
      <c r="A1" s="2"/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</row>
    <row r="2" spans="1:19" x14ac:dyDescent="0.35">
      <c r="A2" s="2"/>
      <c r="B2" s="2" t="s">
        <v>47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2" t="s">
        <v>59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</row>
    <row r="3" spans="1:19" x14ac:dyDescent="0.35">
      <c r="A3" s="2" t="s">
        <v>65</v>
      </c>
      <c r="B3" s="2" t="s">
        <v>66</v>
      </c>
      <c r="C3" s="2" t="s">
        <v>66</v>
      </c>
      <c r="D3" s="2" t="s">
        <v>66</v>
      </c>
      <c r="E3" s="2" t="s">
        <v>66</v>
      </c>
      <c r="F3" s="2" t="s">
        <v>66</v>
      </c>
      <c r="G3" s="2" t="s">
        <v>66</v>
      </c>
      <c r="H3" s="2" t="s">
        <v>66</v>
      </c>
      <c r="I3" s="2" t="s">
        <v>66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66</v>
      </c>
      <c r="P3" s="2" t="s">
        <v>66</v>
      </c>
      <c r="Q3" s="2" t="s">
        <v>66</v>
      </c>
      <c r="R3" s="2" t="s">
        <v>66</v>
      </c>
      <c r="S3" s="2" t="s">
        <v>66</v>
      </c>
    </row>
    <row r="4" spans="1:19" x14ac:dyDescent="0.35">
      <c r="A4" s="3">
        <v>2958.75</v>
      </c>
      <c r="B4" s="5">
        <v>6.0246319999999998E-4</v>
      </c>
      <c r="C4" s="5">
        <v>6.9023330000000005E-4</v>
      </c>
      <c r="D4" s="5">
        <v>2.402422E-3</v>
      </c>
      <c r="E4" s="5">
        <v>-6.0983439999999999E-4</v>
      </c>
      <c r="F4" s="5">
        <v>5.196205E-4</v>
      </c>
      <c r="G4" s="5">
        <v>-6.0080140000000001E-4</v>
      </c>
      <c r="H4" s="5">
        <v>-1.274947E-3</v>
      </c>
      <c r="I4" s="5">
        <v>4.6513919999999999E-3</v>
      </c>
      <c r="J4" s="5">
        <v>9.5574199999999998E-4</v>
      </c>
      <c r="K4" s="5">
        <v>1.501278E-3</v>
      </c>
      <c r="L4" s="5">
        <v>-7.2463300000000003E-4</v>
      </c>
      <c r="M4" s="5">
        <v>-2.6684579999999999E-4</v>
      </c>
      <c r="N4" s="5">
        <v>5.946991E-4</v>
      </c>
      <c r="O4" s="5">
        <v>3.2218230000000001E-4</v>
      </c>
      <c r="P4" s="5">
        <v>5.0247010000000001E-4</v>
      </c>
      <c r="Q4" s="5">
        <v>-2.977729E-4</v>
      </c>
      <c r="R4" s="5">
        <v>-1.741046E-3</v>
      </c>
      <c r="S4" s="5">
        <v>-9.9291359999999993E-5</v>
      </c>
    </row>
    <row r="5" spans="1:19" x14ac:dyDescent="0.35">
      <c r="A5" s="3">
        <v>2959.232</v>
      </c>
      <c r="B5" s="5">
        <v>5.9337189999999996E-4</v>
      </c>
      <c r="C5" s="5">
        <v>6.8037689999999999E-4</v>
      </c>
      <c r="D5" s="5">
        <v>2.3953920000000001E-3</v>
      </c>
      <c r="E5" s="5">
        <v>-6.2174569999999996E-4</v>
      </c>
      <c r="F5" s="5">
        <v>5.0462629999999998E-4</v>
      </c>
      <c r="G5" s="5">
        <v>-6.1043000000000002E-4</v>
      </c>
      <c r="H5" s="5">
        <v>-1.2826440000000001E-3</v>
      </c>
      <c r="I5" s="5">
        <v>4.6315660000000002E-3</v>
      </c>
      <c r="J5" s="5">
        <v>9.4030090000000002E-4</v>
      </c>
      <c r="K5" s="5">
        <v>1.4936299999999999E-3</v>
      </c>
      <c r="L5" s="5">
        <v>-7.4117210000000005E-4</v>
      </c>
      <c r="M5" s="5">
        <v>-2.8621689999999998E-4</v>
      </c>
      <c r="N5" s="5">
        <v>5.8789740000000001E-4</v>
      </c>
      <c r="O5" s="5">
        <v>3.1700959999999997E-4</v>
      </c>
      <c r="P5" s="5">
        <v>4.8578469999999998E-4</v>
      </c>
      <c r="Q5" s="5">
        <v>-3.1068609999999999E-4</v>
      </c>
      <c r="R5" s="5">
        <v>-1.7571500000000001E-3</v>
      </c>
      <c r="S5" s="5">
        <v>-1.2463240000000001E-4</v>
      </c>
    </row>
    <row r="6" spans="1:19" x14ac:dyDescent="0.35">
      <c r="A6" s="3">
        <v>2959.7139999999999</v>
      </c>
      <c r="B6" s="5">
        <v>5.8603940000000003E-4</v>
      </c>
      <c r="C6" s="5">
        <v>6.7400520000000005E-4</v>
      </c>
      <c r="D6" s="5">
        <v>2.3868299999999999E-3</v>
      </c>
      <c r="E6" s="5">
        <v>-6.2846219999999995E-4</v>
      </c>
      <c r="F6" s="5">
        <v>4.8677980000000001E-4</v>
      </c>
      <c r="G6" s="5">
        <v>-6.1416879999999995E-4</v>
      </c>
      <c r="H6" s="5">
        <v>-1.295495E-3</v>
      </c>
      <c r="I6" s="5">
        <v>4.6094639999999997E-3</v>
      </c>
      <c r="J6" s="5">
        <v>9.2230380000000002E-4</v>
      </c>
      <c r="K6" s="5">
        <v>1.482758E-3</v>
      </c>
      <c r="L6" s="5">
        <v>-7.5274900000000004E-4</v>
      </c>
      <c r="M6" s="5">
        <v>-3.0416329999999998E-4</v>
      </c>
      <c r="N6" s="5">
        <v>5.8083029999999995E-4</v>
      </c>
      <c r="O6" s="5">
        <v>3.1160489999999998E-4</v>
      </c>
      <c r="P6" s="5">
        <v>4.7304710000000002E-4</v>
      </c>
      <c r="Q6" s="5">
        <v>-3.2323479999999999E-4</v>
      </c>
      <c r="R6" s="5">
        <v>-1.7697559999999999E-3</v>
      </c>
      <c r="S6" s="5">
        <v>-1.4815020000000001E-4</v>
      </c>
    </row>
    <row r="7" spans="1:19" x14ac:dyDescent="0.35">
      <c r="A7" s="3">
        <v>2960.1959999999999</v>
      </c>
      <c r="B7" s="5">
        <v>5.7947000000000001E-4</v>
      </c>
      <c r="C7" s="5">
        <v>6.7032159999999997E-4</v>
      </c>
      <c r="D7" s="5">
        <v>2.3755690000000001E-3</v>
      </c>
      <c r="E7" s="5">
        <v>-6.2991809999999996E-4</v>
      </c>
      <c r="F7" s="5">
        <v>4.6671169999999999E-4</v>
      </c>
      <c r="G7" s="5">
        <v>-6.1416879999999995E-4</v>
      </c>
      <c r="H7" s="5">
        <v>-1.312211E-3</v>
      </c>
      <c r="I7" s="5">
        <v>4.5869270000000002E-3</v>
      </c>
      <c r="J7" s="5">
        <v>9.0131900000000004E-4</v>
      </c>
      <c r="K7" s="5">
        <v>1.4679300000000001E-3</v>
      </c>
      <c r="L7" s="5">
        <v>-7.5962899999999995E-4</v>
      </c>
      <c r="M7" s="5">
        <v>-3.191623E-4</v>
      </c>
      <c r="N7" s="5">
        <v>5.7253580000000005E-4</v>
      </c>
      <c r="O7" s="5">
        <v>3.0560329999999999E-4</v>
      </c>
      <c r="P7" s="5">
        <v>4.6462199999999998E-4</v>
      </c>
      <c r="Q7" s="5">
        <v>-3.3475669999999999E-4</v>
      </c>
      <c r="R7" s="5">
        <v>-1.7786989999999999E-3</v>
      </c>
      <c r="S7" s="5">
        <v>-1.674934E-4</v>
      </c>
    </row>
    <row r="8" spans="1:19" x14ac:dyDescent="0.35">
      <c r="A8" s="3">
        <v>2960.6779999999999</v>
      </c>
      <c r="B8" s="5">
        <v>5.7293389999999995E-4</v>
      </c>
      <c r="C8" s="5">
        <v>6.6829729999999998E-4</v>
      </c>
      <c r="D8" s="5">
        <v>2.3614769999999998E-3</v>
      </c>
      <c r="E8" s="5">
        <v>-6.2641089999999997E-4</v>
      </c>
      <c r="F8" s="5">
        <v>4.4624649999999998E-4</v>
      </c>
      <c r="G8" s="5">
        <v>-6.1271299999999997E-4</v>
      </c>
      <c r="H8" s="5">
        <v>-1.330644E-3</v>
      </c>
      <c r="I8" s="5">
        <v>4.5657980000000003E-3</v>
      </c>
      <c r="J8" s="5">
        <v>8.7774559999999997E-4</v>
      </c>
      <c r="K8" s="5">
        <v>1.4494130000000001E-3</v>
      </c>
      <c r="L8" s="5">
        <v>-7.6277120000000005E-4</v>
      </c>
      <c r="M8" s="5">
        <v>-3.300884E-4</v>
      </c>
      <c r="N8" s="5">
        <v>5.6308020000000005E-4</v>
      </c>
      <c r="O8" s="5">
        <v>2.9927030000000002E-4</v>
      </c>
      <c r="P8" s="5">
        <v>4.596798E-4</v>
      </c>
      <c r="Q8" s="5">
        <v>-3.4445740000000003E-4</v>
      </c>
      <c r="R8" s="5">
        <v>-1.7847710000000001E-3</v>
      </c>
      <c r="S8" s="5">
        <v>-1.811723E-4</v>
      </c>
    </row>
    <row r="9" spans="1:19" x14ac:dyDescent="0.35">
      <c r="A9" s="3">
        <v>2961.1610000000001</v>
      </c>
      <c r="B9" s="5">
        <v>5.6576759999999999E-4</v>
      </c>
      <c r="C9" s="5">
        <v>6.6690360000000004E-4</v>
      </c>
      <c r="D9" s="5">
        <v>2.3455860000000002E-3</v>
      </c>
      <c r="E9" s="5">
        <v>-6.1893340000000003E-4</v>
      </c>
      <c r="F9" s="5">
        <v>4.2777229999999998E-4</v>
      </c>
      <c r="G9" s="5">
        <v>-6.1162110000000005E-4</v>
      </c>
      <c r="H9" s="5">
        <v>-1.3490749999999999E-3</v>
      </c>
      <c r="I9" s="5">
        <v>4.5477169999999997E-3</v>
      </c>
      <c r="J9" s="5">
        <v>8.5261310000000004E-4</v>
      </c>
      <c r="K9" s="5">
        <v>1.4286349999999999E-3</v>
      </c>
      <c r="L9" s="5">
        <v>-7.6306880000000005E-4</v>
      </c>
      <c r="M9" s="5">
        <v>-3.3631280000000002E-4</v>
      </c>
      <c r="N9" s="5">
        <v>5.5299449999999997E-4</v>
      </c>
      <c r="O9" s="5">
        <v>2.9350109999999997E-4</v>
      </c>
      <c r="P9" s="5">
        <v>4.5725840000000002E-4</v>
      </c>
      <c r="Q9" s="5">
        <v>-3.5091339999999998E-4</v>
      </c>
      <c r="R9" s="5">
        <v>-1.7893570000000001E-3</v>
      </c>
      <c r="S9" s="5">
        <v>-1.8799499999999999E-4</v>
      </c>
    </row>
    <row r="10" spans="1:19" x14ac:dyDescent="0.35">
      <c r="A10" s="3">
        <v>2961.643</v>
      </c>
      <c r="B10" s="5">
        <v>5.5744020000000004E-4</v>
      </c>
      <c r="C10" s="5">
        <v>6.6534389999999997E-4</v>
      </c>
      <c r="D10" s="5">
        <v>2.330029E-3</v>
      </c>
      <c r="E10" s="5">
        <v>-6.0900720000000002E-4</v>
      </c>
      <c r="F10" s="5">
        <v>4.1334500000000002E-4</v>
      </c>
      <c r="G10" s="5">
        <v>-6.1142260000000002E-4</v>
      </c>
      <c r="H10" s="5">
        <v>-1.3661190000000001E-3</v>
      </c>
      <c r="I10" s="5">
        <v>4.5335870000000004E-3</v>
      </c>
      <c r="J10" s="5">
        <v>8.2814610000000002E-4</v>
      </c>
      <c r="K10" s="5">
        <v>1.4073930000000001E-3</v>
      </c>
      <c r="L10" s="5">
        <v>-7.6108429999999997E-4</v>
      </c>
      <c r="M10" s="5">
        <v>-3.3843170000000001E-4</v>
      </c>
      <c r="N10" s="5">
        <v>5.4387119999999998E-4</v>
      </c>
      <c r="O10" s="5">
        <v>2.8942280000000001E-4</v>
      </c>
      <c r="P10" s="5">
        <v>4.5563320000000001E-4</v>
      </c>
      <c r="Q10" s="5">
        <v>-3.5359500000000001E-4</v>
      </c>
      <c r="R10" s="5">
        <v>-1.7937459999999999E-3</v>
      </c>
      <c r="S10" s="5">
        <v>-1.8855799999999999E-4</v>
      </c>
    </row>
    <row r="11" spans="1:19" x14ac:dyDescent="0.35">
      <c r="A11" s="3">
        <v>2962.125</v>
      </c>
      <c r="B11" s="5">
        <v>5.4818399999999995E-4</v>
      </c>
      <c r="C11" s="5">
        <v>6.632532E-4</v>
      </c>
      <c r="D11" s="5">
        <v>2.3170700000000001E-3</v>
      </c>
      <c r="E11" s="5">
        <v>-5.9831969999999996E-4</v>
      </c>
      <c r="F11" s="5">
        <v>4.046888E-4</v>
      </c>
      <c r="G11" s="5">
        <v>-6.1218359999999996E-4</v>
      </c>
      <c r="H11" s="5">
        <v>-1.381544E-3</v>
      </c>
      <c r="I11" s="5">
        <v>4.5241120000000003E-3</v>
      </c>
      <c r="J11" s="5">
        <v>8.0656840000000005E-4</v>
      </c>
      <c r="K11" s="5">
        <v>1.3875820000000001E-3</v>
      </c>
      <c r="L11" s="5">
        <v>-7.5734670000000002E-4</v>
      </c>
      <c r="M11" s="5">
        <v>-3.37902E-4</v>
      </c>
      <c r="N11" s="5">
        <v>5.3773380000000004E-4</v>
      </c>
      <c r="O11" s="5">
        <v>2.8812979999999998E-4</v>
      </c>
      <c r="P11" s="5">
        <v>4.534772E-4</v>
      </c>
      <c r="Q11" s="5">
        <v>-3.5207210000000002E-4</v>
      </c>
      <c r="R11" s="5">
        <v>-1.798366E-3</v>
      </c>
      <c r="S11" s="5">
        <v>-1.842193E-4</v>
      </c>
    </row>
    <row r="13" spans="1:19" x14ac:dyDescent="0.35">
      <c r="A13" s="2" t="s">
        <v>67</v>
      </c>
      <c r="B13" s="5">
        <f>AVERAGE(B4:B11)</f>
        <v>5.7570877500000002E-4</v>
      </c>
      <c r="C13" s="5">
        <f t="shared" ref="C13:S13" si="0">AVERAGE(C4:C11)</f>
        <v>6.723418750000001E-4</v>
      </c>
      <c r="D13" s="5">
        <f t="shared" si="0"/>
        <v>2.3642968750000005E-3</v>
      </c>
      <c r="E13" s="5">
        <f t="shared" si="0"/>
        <v>-6.1782894999999995E-4</v>
      </c>
      <c r="F13" s="5">
        <f t="shared" si="0"/>
        <v>4.5872386249999999E-4</v>
      </c>
      <c r="G13" s="5">
        <f t="shared" si="0"/>
        <v>-6.1093866249999995E-4</v>
      </c>
      <c r="H13" s="5">
        <f t="shared" si="0"/>
        <v>-1.3240848750000001E-3</v>
      </c>
      <c r="I13" s="5">
        <f t="shared" si="0"/>
        <v>4.5813203749999996E-3</v>
      </c>
      <c r="J13" s="5">
        <f t="shared" si="0"/>
        <v>8.855923625E-4</v>
      </c>
      <c r="K13" s="5">
        <f t="shared" si="0"/>
        <v>1.452327375E-3</v>
      </c>
      <c r="L13" s="5">
        <f t="shared" si="0"/>
        <v>-7.5280676249999995E-4</v>
      </c>
      <c r="M13" s="5">
        <f t="shared" si="0"/>
        <v>-3.1489040000000004E-4</v>
      </c>
      <c r="N13" s="5">
        <f t="shared" si="0"/>
        <v>5.6670528749999997E-4</v>
      </c>
      <c r="O13" s="5">
        <f t="shared" si="0"/>
        <v>3.0334051249999999E-4</v>
      </c>
      <c r="P13" s="5">
        <f t="shared" si="0"/>
        <v>4.6899656249999998E-4</v>
      </c>
      <c r="Q13" s="5">
        <f t="shared" si="0"/>
        <v>-3.3343605000000001E-4</v>
      </c>
      <c r="R13" s="5">
        <f t="shared" si="0"/>
        <v>-1.7766113750000002E-3</v>
      </c>
      <c r="S13" s="5">
        <f t="shared" si="0"/>
        <v>-1.60188995E-4</v>
      </c>
    </row>
    <row r="16" spans="1:19" x14ac:dyDescent="0.35">
      <c r="A16" s="2"/>
      <c r="B16" s="2" t="s">
        <v>29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  <c r="K16" s="2" t="s">
        <v>38</v>
      </c>
      <c r="L16" s="2" t="s">
        <v>39</v>
      </c>
      <c r="M16" s="2" t="s">
        <v>40</v>
      </c>
      <c r="N16" s="2" t="s">
        <v>41</v>
      </c>
      <c r="O16" s="2" t="s">
        <v>42</v>
      </c>
      <c r="P16" s="2" t="s">
        <v>43</v>
      </c>
      <c r="Q16" s="2" t="s">
        <v>44</v>
      </c>
      <c r="R16" s="2" t="s">
        <v>45</v>
      </c>
      <c r="S16" s="2" t="s">
        <v>46</v>
      </c>
    </row>
    <row r="17" spans="1:19" x14ac:dyDescent="0.35">
      <c r="A17" s="2"/>
      <c r="B17" s="2" t="s">
        <v>47</v>
      </c>
      <c r="C17" s="2" t="s">
        <v>48</v>
      </c>
      <c r="D17" s="2" t="s">
        <v>49</v>
      </c>
      <c r="E17" s="2" t="s">
        <v>50</v>
      </c>
      <c r="F17" s="2" t="s">
        <v>51</v>
      </c>
      <c r="G17" s="2" t="s">
        <v>52</v>
      </c>
      <c r="H17" s="2" t="s">
        <v>53</v>
      </c>
      <c r="I17" s="2" t="s">
        <v>54</v>
      </c>
      <c r="J17" s="2" t="s">
        <v>55</v>
      </c>
      <c r="K17" s="2" t="s">
        <v>56</v>
      </c>
      <c r="L17" s="2" t="s">
        <v>57</v>
      </c>
      <c r="M17" s="2" t="s">
        <v>58</v>
      </c>
      <c r="N17" s="2" t="s">
        <v>59</v>
      </c>
      <c r="O17" s="2" t="s">
        <v>60</v>
      </c>
      <c r="P17" s="2" t="s">
        <v>61</v>
      </c>
      <c r="Q17" s="2" t="s">
        <v>62</v>
      </c>
      <c r="R17" s="2" t="s">
        <v>63</v>
      </c>
      <c r="S17" s="2" t="s">
        <v>64</v>
      </c>
    </row>
    <row r="18" spans="1:19" x14ac:dyDescent="0.35">
      <c r="A18" s="2" t="s">
        <v>65</v>
      </c>
      <c r="B18" s="2" t="s">
        <v>66</v>
      </c>
      <c r="C18" s="2" t="s">
        <v>66</v>
      </c>
      <c r="D18" s="2" t="s">
        <v>66</v>
      </c>
      <c r="E18" s="2" t="s">
        <v>66</v>
      </c>
      <c r="F18" s="2" t="s">
        <v>66</v>
      </c>
      <c r="G18" s="2" t="s">
        <v>66</v>
      </c>
      <c r="H18" s="2" t="s">
        <v>66</v>
      </c>
      <c r="I18" s="2" t="s">
        <v>66</v>
      </c>
      <c r="J18" s="2" t="s">
        <v>66</v>
      </c>
      <c r="K18" s="2" t="s">
        <v>66</v>
      </c>
      <c r="L18" s="2" t="s">
        <v>66</v>
      </c>
      <c r="M18" s="2" t="s">
        <v>66</v>
      </c>
      <c r="N18" s="2" t="s">
        <v>66</v>
      </c>
      <c r="O18" s="2" t="s">
        <v>66</v>
      </c>
      <c r="P18" s="2" t="s">
        <v>66</v>
      </c>
      <c r="Q18" s="2" t="s">
        <v>66</v>
      </c>
      <c r="R18" s="2" t="s">
        <v>66</v>
      </c>
      <c r="S18" s="2" t="s">
        <v>66</v>
      </c>
    </row>
    <row r="19" spans="1:19" x14ac:dyDescent="0.35">
      <c r="A19" s="3">
        <v>3420.136</v>
      </c>
      <c r="B19" s="5">
        <v>1.336063E-3</v>
      </c>
      <c r="C19" s="5">
        <v>1.7353119999999999E-3</v>
      </c>
      <c r="D19" s="5">
        <v>3.3575950000000001E-3</v>
      </c>
      <c r="E19" s="5">
        <v>6.2857669999999996E-4</v>
      </c>
      <c r="F19" s="5">
        <v>1.6126090000000001E-3</v>
      </c>
      <c r="G19" s="5">
        <v>5.5578140000000001E-4</v>
      </c>
      <c r="H19" s="5">
        <v>-4.9698209999999999E-5</v>
      </c>
      <c r="I19" s="5">
        <v>6.1020220000000003E-3</v>
      </c>
      <c r="J19" s="5">
        <v>2.2865250000000002E-3</v>
      </c>
      <c r="K19" s="5">
        <v>2.9051459999999999E-3</v>
      </c>
      <c r="L19" s="5">
        <v>9.2788219999999995E-4</v>
      </c>
      <c r="M19" s="5">
        <v>1.2777699999999999E-3</v>
      </c>
      <c r="N19" s="5">
        <v>2.269072E-3</v>
      </c>
      <c r="O19" s="5">
        <v>2.151512E-3</v>
      </c>
      <c r="P19" s="5">
        <v>2.3822660000000001E-3</v>
      </c>
      <c r="Q19" s="5">
        <v>1.8939899999999999E-3</v>
      </c>
      <c r="R19" s="5">
        <v>3.7092830000000002E-4</v>
      </c>
      <c r="S19" s="5">
        <v>1.9763630000000001E-3</v>
      </c>
    </row>
    <row r="20" spans="1:19" x14ac:dyDescent="0.35">
      <c r="A20" s="3">
        <v>3420.6179999999999</v>
      </c>
      <c r="B20" s="5">
        <v>1.3337690000000001E-3</v>
      </c>
      <c r="C20" s="5">
        <v>1.7376410000000001E-3</v>
      </c>
      <c r="D20" s="5">
        <v>3.3617349999999998E-3</v>
      </c>
      <c r="E20" s="5">
        <v>6.3308950000000004E-4</v>
      </c>
      <c r="F20" s="5">
        <v>1.620125E-3</v>
      </c>
      <c r="G20" s="5">
        <v>5.4980969999999998E-4</v>
      </c>
      <c r="H20" s="5">
        <v>-3.5650759999999998E-5</v>
      </c>
      <c r="I20" s="5">
        <v>6.1026270000000002E-3</v>
      </c>
      <c r="J20" s="5">
        <v>2.279297E-3</v>
      </c>
      <c r="K20" s="5">
        <v>2.8927380000000002E-3</v>
      </c>
      <c r="L20" s="5">
        <v>9.2422960000000003E-4</v>
      </c>
      <c r="M20" s="5">
        <v>1.285879E-3</v>
      </c>
      <c r="N20" s="5">
        <v>2.2686389999999998E-3</v>
      </c>
      <c r="O20" s="5">
        <v>2.1478819999999998E-3</v>
      </c>
      <c r="P20" s="5">
        <v>2.3811330000000001E-3</v>
      </c>
      <c r="Q20" s="5">
        <v>1.894689E-3</v>
      </c>
      <c r="R20" s="5">
        <v>3.6658399999999999E-4</v>
      </c>
      <c r="S20" s="5">
        <v>1.9787260000000001E-3</v>
      </c>
    </row>
    <row r="21" spans="1:19" x14ac:dyDescent="0.35">
      <c r="A21" s="3">
        <v>3421.1</v>
      </c>
      <c r="B21" s="5">
        <v>1.334102E-3</v>
      </c>
      <c r="C21" s="5">
        <v>1.738872E-3</v>
      </c>
      <c r="D21" s="5">
        <v>3.366544E-3</v>
      </c>
      <c r="E21" s="5">
        <v>6.3368669999999997E-4</v>
      </c>
      <c r="F21" s="5">
        <v>1.624515E-3</v>
      </c>
      <c r="G21" s="5">
        <v>5.4410340000000002E-4</v>
      </c>
      <c r="H21" s="5">
        <v>-1.7063700000000001E-5</v>
      </c>
      <c r="I21" s="5">
        <v>6.1065920000000001E-3</v>
      </c>
      <c r="J21" s="5">
        <v>2.275067E-3</v>
      </c>
      <c r="K21" s="5">
        <v>2.8838319999999998E-3</v>
      </c>
      <c r="L21" s="5">
        <v>9.1310619999999997E-4</v>
      </c>
      <c r="M21" s="5">
        <v>1.2945190000000001E-3</v>
      </c>
      <c r="N21" s="5">
        <v>2.2707040000000001E-3</v>
      </c>
      <c r="O21" s="5">
        <v>2.144286E-3</v>
      </c>
      <c r="P21" s="5">
        <v>2.3787669999999999E-3</v>
      </c>
      <c r="Q21" s="5">
        <v>1.890196E-3</v>
      </c>
      <c r="R21" s="5">
        <v>3.5593909999999997E-4</v>
      </c>
      <c r="S21" s="5">
        <v>1.9828200000000002E-3</v>
      </c>
    </row>
    <row r="22" spans="1:19" x14ac:dyDescent="0.35">
      <c r="A22" s="3">
        <v>3421.5819999999999</v>
      </c>
      <c r="B22" s="5">
        <v>1.337226E-3</v>
      </c>
      <c r="C22" s="5">
        <v>1.7378739999999999E-3</v>
      </c>
      <c r="D22" s="5">
        <v>3.3720199999999999E-3</v>
      </c>
      <c r="E22" s="5">
        <v>6.2987069999999995E-4</v>
      </c>
      <c r="F22" s="5">
        <v>1.6257120000000001E-3</v>
      </c>
      <c r="G22" s="5">
        <v>5.3929300000000004E-4</v>
      </c>
      <c r="H22" s="5">
        <v>4.5725209999999998E-6</v>
      </c>
      <c r="I22" s="5">
        <v>6.1121029999999998E-3</v>
      </c>
      <c r="J22" s="5">
        <v>2.2746009999999998E-3</v>
      </c>
      <c r="K22" s="5">
        <v>2.8798959999999998E-3</v>
      </c>
      <c r="L22" s="5">
        <v>8.9723509999999995E-4</v>
      </c>
      <c r="M22" s="5">
        <v>1.3027609999999999E-3</v>
      </c>
      <c r="N22" s="5">
        <v>2.2754329999999999E-3</v>
      </c>
      <c r="O22" s="5">
        <v>2.1403569999999998E-3</v>
      </c>
      <c r="P22" s="5">
        <v>2.3775010000000002E-3</v>
      </c>
      <c r="Q22" s="5">
        <v>1.881012E-3</v>
      </c>
      <c r="R22" s="5">
        <v>3.4012149999999999E-4</v>
      </c>
      <c r="S22" s="5">
        <v>1.9881130000000001E-3</v>
      </c>
    </row>
    <row r="23" spans="1:19" x14ac:dyDescent="0.35">
      <c r="A23" s="3">
        <v>3422.0639999999999</v>
      </c>
      <c r="B23" s="5">
        <v>1.343075E-3</v>
      </c>
      <c r="C23" s="5">
        <v>1.733516E-3</v>
      </c>
      <c r="D23" s="5">
        <v>3.3778969999999999E-3</v>
      </c>
      <c r="E23" s="5">
        <v>6.2197350000000001E-4</v>
      </c>
      <c r="F23" s="5">
        <v>1.624316E-3</v>
      </c>
      <c r="G23" s="5">
        <v>5.3537829999999998E-4</v>
      </c>
      <c r="H23" s="5">
        <v>2.6375499999999998E-5</v>
      </c>
      <c r="I23" s="5">
        <v>6.1168749999999999E-3</v>
      </c>
      <c r="J23" s="5">
        <v>2.277299E-3</v>
      </c>
      <c r="K23" s="5">
        <v>2.8812640000000001E-3</v>
      </c>
      <c r="L23" s="5">
        <v>8.8006969999999995E-4</v>
      </c>
      <c r="M23" s="5">
        <v>1.3100060000000001E-3</v>
      </c>
      <c r="N23" s="5">
        <v>2.2821619999999999E-3</v>
      </c>
      <c r="O23" s="5">
        <v>2.1352960000000001E-3</v>
      </c>
      <c r="P23" s="5">
        <v>2.3791340000000002E-3</v>
      </c>
      <c r="Q23" s="5">
        <v>1.8687650000000001E-3</v>
      </c>
      <c r="R23" s="5">
        <v>3.2168499999999999E-4</v>
      </c>
      <c r="S23" s="5">
        <v>1.9940050000000001E-3</v>
      </c>
    </row>
    <row r="24" spans="1:19" x14ac:dyDescent="0.35">
      <c r="A24" s="3">
        <v>3422.5459999999998</v>
      </c>
      <c r="B24" s="5">
        <v>1.351086E-3</v>
      </c>
      <c r="C24" s="5">
        <v>1.725898E-3</v>
      </c>
      <c r="D24" s="5">
        <v>3.3836080000000002E-3</v>
      </c>
      <c r="E24" s="5">
        <v>6.1145510000000004E-4</v>
      </c>
      <c r="F24" s="5">
        <v>1.6212889999999999E-3</v>
      </c>
      <c r="G24" s="5">
        <v>5.3206089999999998E-4</v>
      </c>
      <c r="H24" s="5">
        <v>4.4733259999999998E-5</v>
      </c>
      <c r="I24" s="5">
        <v>6.1191600000000002E-3</v>
      </c>
      <c r="J24" s="5">
        <v>2.282128E-3</v>
      </c>
      <c r="K24" s="5">
        <v>2.8876349999999999E-3</v>
      </c>
      <c r="L24" s="5">
        <v>8.6556100000000004E-4</v>
      </c>
      <c r="M24" s="5">
        <v>1.3163210000000001E-3</v>
      </c>
      <c r="N24" s="5">
        <v>2.290023E-3</v>
      </c>
      <c r="O24" s="5">
        <v>2.1289030000000001E-3</v>
      </c>
      <c r="P24" s="5">
        <v>2.3836650000000001E-3</v>
      </c>
      <c r="Q24" s="5">
        <v>1.8547559999999999E-3</v>
      </c>
      <c r="R24" s="5">
        <v>3.0348130000000002E-4</v>
      </c>
      <c r="S24" s="5">
        <v>1.999996E-3</v>
      </c>
    </row>
    <row r="25" spans="1:19" x14ac:dyDescent="0.35">
      <c r="A25" s="3">
        <v>3423.0279999999998</v>
      </c>
      <c r="B25" s="5">
        <v>1.3607910000000001E-3</v>
      </c>
      <c r="C25" s="5">
        <v>1.715619E-3</v>
      </c>
      <c r="D25" s="5">
        <v>3.3880820000000002E-3</v>
      </c>
      <c r="E25" s="5">
        <v>6.0010740000000003E-4</v>
      </c>
      <c r="F25" s="5">
        <v>1.617797E-3</v>
      </c>
      <c r="G25" s="5">
        <v>5.2894240000000005E-4</v>
      </c>
      <c r="H25" s="5">
        <v>5.62321E-5</v>
      </c>
      <c r="I25" s="5">
        <v>6.1181179999999996E-3</v>
      </c>
      <c r="J25" s="5">
        <v>2.2872249999999999E-3</v>
      </c>
      <c r="K25" s="5">
        <v>2.897808E-3</v>
      </c>
      <c r="L25" s="5">
        <v>8.5629830000000001E-4</v>
      </c>
      <c r="M25" s="5">
        <v>1.3221039999999999E-3</v>
      </c>
      <c r="N25" s="5">
        <v>2.2972169999999998E-3</v>
      </c>
      <c r="O25" s="5">
        <v>2.121244E-3</v>
      </c>
      <c r="P25" s="5">
        <v>2.3900280000000002E-3</v>
      </c>
      <c r="Q25" s="5">
        <v>1.8409139999999999E-3</v>
      </c>
      <c r="R25" s="5">
        <v>2.88826E-4</v>
      </c>
      <c r="S25" s="5">
        <v>2.005588E-3</v>
      </c>
    </row>
    <row r="26" spans="1:19" x14ac:dyDescent="0.35">
      <c r="A26" s="3">
        <v>3423.51</v>
      </c>
      <c r="B26" s="5">
        <v>1.371361E-3</v>
      </c>
      <c r="C26" s="5">
        <v>1.7040429999999999E-3</v>
      </c>
      <c r="D26" s="5">
        <v>3.3909539999999998E-3</v>
      </c>
      <c r="E26" s="5">
        <v>5.8985500000000002E-4</v>
      </c>
      <c r="F26" s="5">
        <v>1.6150699999999999E-3</v>
      </c>
      <c r="G26" s="5">
        <v>5.2572459999999997E-4</v>
      </c>
      <c r="H26" s="5">
        <v>5.8319819999999998E-5</v>
      </c>
      <c r="I26" s="5">
        <v>6.113851E-3</v>
      </c>
      <c r="J26" s="5">
        <v>2.2908220000000001E-3</v>
      </c>
      <c r="K26" s="5">
        <v>2.9101159999999999E-3</v>
      </c>
      <c r="L26" s="5">
        <v>8.533767E-4</v>
      </c>
      <c r="M26" s="5">
        <v>1.327089E-3</v>
      </c>
      <c r="N26" s="5">
        <v>2.3022469999999999E-3</v>
      </c>
      <c r="O26" s="5">
        <v>2.1135860000000002E-3</v>
      </c>
      <c r="P26" s="5">
        <v>2.3957919999999999E-3</v>
      </c>
      <c r="Q26" s="5">
        <v>1.828669E-3</v>
      </c>
      <c r="R26" s="5">
        <v>2.797082E-4</v>
      </c>
      <c r="S26" s="5">
        <v>2.0103149999999999E-3</v>
      </c>
    </row>
    <row r="27" spans="1:19" x14ac:dyDescent="0.35">
      <c r="A27" s="3">
        <v>3423.9929999999999</v>
      </c>
      <c r="B27" s="5">
        <v>1.381665E-3</v>
      </c>
      <c r="C27" s="5">
        <v>1.6927000000000001E-3</v>
      </c>
      <c r="D27" s="5">
        <v>3.391355E-3</v>
      </c>
      <c r="E27" s="5">
        <v>5.8262199999999998E-4</v>
      </c>
      <c r="F27" s="5">
        <v>1.6134400000000001E-3</v>
      </c>
      <c r="G27" s="5">
        <v>5.2217490000000001E-4</v>
      </c>
      <c r="H27" s="5">
        <v>5.0698039999999997E-5</v>
      </c>
      <c r="I27" s="5">
        <v>6.1076669999999998E-3</v>
      </c>
      <c r="J27" s="5">
        <v>2.291721E-3</v>
      </c>
      <c r="K27" s="5">
        <v>2.9229590000000001E-3</v>
      </c>
      <c r="L27" s="5">
        <v>8.5603269999999997E-4</v>
      </c>
      <c r="M27" s="5">
        <v>1.3308110000000001E-3</v>
      </c>
      <c r="N27" s="5">
        <v>2.3036459999999999E-3</v>
      </c>
      <c r="O27" s="5">
        <v>2.10736E-3</v>
      </c>
      <c r="P27" s="5">
        <v>2.3988909999999998E-3</v>
      </c>
      <c r="Q27" s="5">
        <v>1.819352E-3</v>
      </c>
      <c r="R27" s="5">
        <v>2.7635950000000001E-4</v>
      </c>
      <c r="S27" s="5">
        <v>2.0135779999999998E-3</v>
      </c>
    </row>
    <row r="28" spans="1:19" x14ac:dyDescent="0.35">
      <c r="A28" s="3">
        <v>3424.4749999999999</v>
      </c>
      <c r="B28" s="5">
        <v>1.390407E-3</v>
      </c>
      <c r="C28" s="5">
        <v>1.6829200000000001E-3</v>
      </c>
      <c r="D28" s="5">
        <v>3.3893510000000001E-3</v>
      </c>
      <c r="E28" s="5">
        <v>5.7970229999999997E-4</v>
      </c>
      <c r="F28" s="5">
        <v>1.6130739999999999E-3</v>
      </c>
      <c r="G28" s="5">
        <v>5.1882440000000001E-4</v>
      </c>
      <c r="H28" s="5">
        <v>3.4427629999999998E-5</v>
      </c>
      <c r="I28" s="5">
        <v>6.100846E-3</v>
      </c>
      <c r="J28" s="5">
        <v>2.2892899999999998E-3</v>
      </c>
      <c r="K28" s="5">
        <v>2.9348009999999999E-3</v>
      </c>
      <c r="L28" s="5">
        <v>8.6237379999999999E-4</v>
      </c>
      <c r="M28" s="5">
        <v>1.332373E-3</v>
      </c>
      <c r="N28" s="5">
        <v>2.3007150000000001E-3</v>
      </c>
      <c r="O28" s="5">
        <v>2.1043300000000002E-3</v>
      </c>
      <c r="P28" s="5">
        <v>2.3981580000000001E-3</v>
      </c>
      <c r="Q28" s="5">
        <v>1.8133299999999999E-3</v>
      </c>
      <c r="R28" s="5">
        <v>2.7781840000000002E-4</v>
      </c>
      <c r="S28" s="5">
        <v>2.0151750000000001E-3</v>
      </c>
    </row>
    <row r="29" spans="1:19" x14ac:dyDescent="0.35">
      <c r="A29" s="3">
        <v>3424.9569999999999</v>
      </c>
      <c r="B29" s="5">
        <v>1.396656E-3</v>
      </c>
      <c r="C29" s="5">
        <v>1.6751369999999999E-3</v>
      </c>
      <c r="D29" s="5">
        <v>3.385711E-3</v>
      </c>
      <c r="E29" s="5">
        <v>5.8205789999999996E-4</v>
      </c>
      <c r="F29" s="5">
        <v>1.61364E-3</v>
      </c>
      <c r="G29" s="5">
        <v>5.1610410000000001E-4</v>
      </c>
      <c r="H29" s="5">
        <v>1.2756790000000001E-5</v>
      </c>
      <c r="I29" s="5">
        <v>6.0951670000000003E-3</v>
      </c>
      <c r="J29" s="5">
        <v>2.2833939999999998E-3</v>
      </c>
      <c r="K29" s="5">
        <v>2.945076E-3</v>
      </c>
      <c r="L29" s="5">
        <v>8.6997660000000005E-4</v>
      </c>
      <c r="M29" s="5">
        <v>1.3306780000000001E-3</v>
      </c>
      <c r="N29" s="5">
        <v>2.2936530000000001E-3</v>
      </c>
      <c r="O29" s="5">
        <v>2.1055620000000001E-3</v>
      </c>
      <c r="P29" s="5">
        <v>2.3938269999999998E-3</v>
      </c>
      <c r="Q29" s="5">
        <v>1.8107679999999999E-3</v>
      </c>
      <c r="R29" s="5">
        <v>2.8176379999999998E-4</v>
      </c>
      <c r="S29" s="5">
        <v>2.0153079999999999E-3</v>
      </c>
    </row>
    <row r="30" spans="1:19" x14ac:dyDescent="0.35">
      <c r="A30" s="3">
        <v>3425.4389999999999</v>
      </c>
      <c r="B30" s="5">
        <v>1.399415E-3</v>
      </c>
      <c r="C30" s="5">
        <v>1.6696160000000001E-3</v>
      </c>
      <c r="D30" s="5">
        <v>3.3814370000000002E-3</v>
      </c>
      <c r="E30" s="5">
        <v>5.8952319999999996E-4</v>
      </c>
      <c r="F30" s="5">
        <v>1.6142719999999999E-3</v>
      </c>
      <c r="G30" s="5">
        <v>5.1434590000000002E-4</v>
      </c>
      <c r="H30" s="5">
        <v>-9.9732309999999994E-6</v>
      </c>
      <c r="I30" s="5">
        <v>6.0915049999999997E-3</v>
      </c>
      <c r="J30" s="5">
        <v>2.2749340000000002E-3</v>
      </c>
      <c r="K30" s="5">
        <v>2.9534829999999998E-3</v>
      </c>
      <c r="L30" s="5">
        <v>8.7641759999999998E-4</v>
      </c>
      <c r="M30" s="5">
        <v>1.3253939999999999E-3</v>
      </c>
      <c r="N30" s="5">
        <v>2.283228E-3</v>
      </c>
      <c r="O30" s="5">
        <v>2.1110230000000001E-3</v>
      </c>
      <c r="P30" s="5">
        <v>2.3870300000000001E-3</v>
      </c>
      <c r="Q30" s="5">
        <v>1.810901E-3</v>
      </c>
      <c r="R30" s="5">
        <v>2.8541100000000001E-4</v>
      </c>
      <c r="S30" s="5">
        <v>2.0142099999999998E-3</v>
      </c>
    </row>
    <row r="31" spans="1:19" x14ac:dyDescent="0.35">
      <c r="A31" s="3">
        <v>3425.9209999999998</v>
      </c>
      <c r="B31" s="5">
        <v>1.398451E-3</v>
      </c>
      <c r="C31" s="5">
        <v>1.665691E-3</v>
      </c>
      <c r="D31" s="5">
        <v>3.3777970000000001E-3</v>
      </c>
      <c r="E31" s="5">
        <v>6.0130190000000003E-4</v>
      </c>
      <c r="F31" s="5">
        <v>1.6140390000000001E-3</v>
      </c>
      <c r="G31" s="5">
        <v>5.1388149999999995E-4</v>
      </c>
      <c r="H31" s="5">
        <v>-2.948829E-5</v>
      </c>
      <c r="I31" s="5">
        <v>6.0905969999999997E-3</v>
      </c>
      <c r="J31" s="5">
        <v>2.265141E-3</v>
      </c>
      <c r="K31" s="5">
        <v>2.9607549999999998E-3</v>
      </c>
      <c r="L31" s="5">
        <v>8.8046809999999995E-4</v>
      </c>
      <c r="M31" s="5">
        <v>1.3165869999999999E-3</v>
      </c>
      <c r="N31" s="5">
        <v>2.2709029999999999E-3</v>
      </c>
      <c r="O31" s="5">
        <v>2.1193470000000002E-3</v>
      </c>
      <c r="P31" s="5">
        <v>2.3795000000000001E-3</v>
      </c>
      <c r="Q31" s="5">
        <v>1.812564E-3</v>
      </c>
      <c r="R31" s="5">
        <v>2.8627299999999997E-4</v>
      </c>
      <c r="S31" s="5">
        <v>2.0124790000000002E-3</v>
      </c>
    </row>
    <row r="32" spans="1:19" x14ac:dyDescent="0.35">
      <c r="A32" s="3">
        <v>3426.4029999999998</v>
      </c>
      <c r="B32" s="5">
        <v>1.3936980000000001E-3</v>
      </c>
      <c r="C32" s="5">
        <v>1.6624980000000001E-3</v>
      </c>
      <c r="D32" s="5">
        <v>3.3761939999999999E-3</v>
      </c>
      <c r="E32" s="5">
        <v>6.1553629999999996E-4</v>
      </c>
      <c r="F32" s="5">
        <v>1.612442E-3</v>
      </c>
      <c r="G32" s="5">
        <v>5.1457810000000005E-4</v>
      </c>
      <c r="H32" s="5">
        <v>-4.2442630000000001E-5</v>
      </c>
      <c r="I32" s="5">
        <v>6.092882E-3</v>
      </c>
      <c r="J32" s="5">
        <v>2.2553159999999998E-3</v>
      </c>
      <c r="K32" s="5">
        <v>2.967861E-3</v>
      </c>
      <c r="L32" s="5">
        <v>8.817629E-4</v>
      </c>
      <c r="M32" s="5">
        <v>1.3053870000000001E-3</v>
      </c>
      <c r="N32" s="5">
        <v>2.2581799999999998E-3</v>
      </c>
      <c r="O32" s="5">
        <v>2.128436E-3</v>
      </c>
      <c r="P32" s="5">
        <v>2.3730700000000001E-3</v>
      </c>
      <c r="Q32" s="5">
        <v>1.8142950000000001E-3</v>
      </c>
      <c r="R32" s="5">
        <v>2.830237E-4</v>
      </c>
      <c r="S32" s="5">
        <v>2.0103819999999998E-3</v>
      </c>
    </row>
    <row r="33" spans="1:19" x14ac:dyDescent="0.35">
      <c r="A33" s="3">
        <v>3426.8850000000002</v>
      </c>
      <c r="B33" s="5">
        <v>1.3857870000000001E-3</v>
      </c>
      <c r="C33" s="5">
        <v>1.6592709999999999E-3</v>
      </c>
      <c r="D33" s="5">
        <v>3.3774959999999998E-3</v>
      </c>
      <c r="E33" s="5">
        <v>6.3013619999999996E-4</v>
      </c>
      <c r="F33" s="5">
        <v>1.609316E-3</v>
      </c>
      <c r="G33" s="5">
        <v>5.1613729999999995E-4</v>
      </c>
      <c r="H33" s="5">
        <v>-4.6981529999999999E-5</v>
      </c>
      <c r="I33" s="5">
        <v>6.0987970000000004E-3</v>
      </c>
      <c r="J33" s="5">
        <v>2.246456E-3</v>
      </c>
      <c r="K33" s="5">
        <v>2.9754009999999999E-3</v>
      </c>
      <c r="L33" s="5">
        <v>8.8066730000000001E-4</v>
      </c>
      <c r="M33" s="5">
        <v>1.293689E-3</v>
      </c>
      <c r="N33" s="5">
        <v>2.2468229999999998E-3</v>
      </c>
      <c r="O33" s="5">
        <v>2.1355950000000001E-3</v>
      </c>
      <c r="P33" s="5">
        <v>2.3683060000000001E-3</v>
      </c>
      <c r="Q33" s="5">
        <v>1.8150270000000001E-3</v>
      </c>
      <c r="R33" s="5">
        <v>2.7526539999999999E-4</v>
      </c>
      <c r="S33" s="5">
        <v>2.0078190000000001E-3</v>
      </c>
    </row>
    <row r="34" spans="1:19" x14ac:dyDescent="0.35">
      <c r="A34" s="3">
        <v>3427.3670000000002</v>
      </c>
      <c r="B34" s="5">
        <v>1.375549E-3</v>
      </c>
      <c r="C34" s="5">
        <v>1.6553799999999999E-3</v>
      </c>
      <c r="D34" s="5">
        <v>3.3820709999999999E-3</v>
      </c>
      <c r="E34" s="5">
        <v>6.4281199999999998E-4</v>
      </c>
      <c r="F34" s="5">
        <v>1.6056250000000001E-3</v>
      </c>
      <c r="G34" s="5">
        <v>5.1792869999999999E-4</v>
      </c>
      <c r="H34" s="5">
        <v>-4.340342E-5</v>
      </c>
      <c r="I34" s="5">
        <v>6.1084399999999997E-3</v>
      </c>
      <c r="J34" s="5">
        <v>2.2393959999999998E-3</v>
      </c>
      <c r="K34" s="5">
        <v>2.983608E-3</v>
      </c>
      <c r="L34" s="5">
        <v>8.7834320000000003E-4</v>
      </c>
      <c r="M34" s="5">
        <v>1.283553E-3</v>
      </c>
      <c r="N34" s="5">
        <v>2.2383630000000002E-3</v>
      </c>
      <c r="O34" s="5">
        <v>2.1390910000000001E-3</v>
      </c>
      <c r="P34" s="5">
        <v>2.3651409999999999E-3</v>
      </c>
      <c r="Q34" s="5">
        <v>1.813729E-3</v>
      </c>
      <c r="R34" s="5">
        <v>2.6389339999999999E-4</v>
      </c>
      <c r="S34" s="5">
        <v>2.0041899999999999E-3</v>
      </c>
    </row>
    <row r="35" spans="1:19" x14ac:dyDescent="0.35">
      <c r="A35" s="3">
        <v>3427.85</v>
      </c>
      <c r="B35" s="5">
        <v>1.3641149999999999E-3</v>
      </c>
      <c r="C35" s="5">
        <v>1.6504569999999999E-3</v>
      </c>
      <c r="D35" s="5">
        <v>3.3892839999999998E-3</v>
      </c>
      <c r="E35" s="5">
        <v>6.5173830000000001E-4</v>
      </c>
      <c r="F35" s="5">
        <v>1.602299E-3</v>
      </c>
      <c r="G35" s="5">
        <v>5.1955420000000005E-4</v>
      </c>
      <c r="H35" s="5">
        <v>-3.3696009999999998E-5</v>
      </c>
      <c r="I35" s="5">
        <v>6.121647E-3</v>
      </c>
      <c r="J35" s="5">
        <v>2.2339E-3</v>
      </c>
      <c r="K35" s="5">
        <v>2.9917479999999998E-3</v>
      </c>
      <c r="L35" s="5">
        <v>8.7608559999999996E-4</v>
      </c>
      <c r="M35" s="5">
        <v>1.276906E-3</v>
      </c>
      <c r="N35" s="5">
        <v>2.2338670000000001E-3</v>
      </c>
      <c r="O35" s="5">
        <v>2.1380589999999999E-3</v>
      </c>
      <c r="P35" s="5">
        <v>2.3627090000000002E-3</v>
      </c>
      <c r="Q35" s="5">
        <v>1.810468E-3</v>
      </c>
      <c r="R35" s="5">
        <v>2.503998E-4</v>
      </c>
      <c r="S35" s="5">
        <v>1.9984650000000001E-3</v>
      </c>
    </row>
    <row r="36" spans="1:19" x14ac:dyDescent="0.35">
      <c r="A36" s="3">
        <v>3428.3319999999999</v>
      </c>
      <c r="B36" s="5">
        <v>1.352448E-3</v>
      </c>
      <c r="C36" s="5">
        <v>1.6450690000000001E-3</v>
      </c>
      <c r="D36" s="5">
        <v>3.3985679999999998E-3</v>
      </c>
      <c r="E36" s="5">
        <v>6.5572039999999996E-4</v>
      </c>
      <c r="F36" s="5">
        <v>1.6007689999999999E-3</v>
      </c>
      <c r="G36" s="5">
        <v>5.2101380000000002E-4</v>
      </c>
      <c r="H36" s="5">
        <v>-2.0840809999999999E-5</v>
      </c>
      <c r="I36" s="5">
        <v>6.1375079999999999E-3</v>
      </c>
      <c r="J36" s="5">
        <v>2.2295370000000002E-3</v>
      </c>
      <c r="K36" s="5">
        <v>2.9985879999999999E-3</v>
      </c>
      <c r="L36" s="5">
        <v>8.7482390000000003E-4</v>
      </c>
      <c r="M36" s="5">
        <v>1.274746E-3</v>
      </c>
      <c r="N36" s="5">
        <v>2.233933E-3</v>
      </c>
      <c r="O36" s="5">
        <v>2.133331E-3</v>
      </c>
      <c r="P36" s="5">
        <v>2.3601770000000002E-3</v>
      </c>
      <c r="Q36" s="5">
        <v>1.8058099999999999E-3</v>
      </c>
      <c r="R36" s="5">
        <v>2.36973E-4</v>
      </c>
      <c r="S36" s="5">
        <v>1.9898770000000001E-3</v>
      </c>
    </row>
    <row r="37" spans="1:19" x14ac:dyDescent="0.35">
      <c r="A37" s="3">
        <v>3428.8139999999999</v>
      </c>
      <c r="B37" s="5">
        <v>1.3415129999999999E-3</v>
      </c>
      <c r="C37" s="5">
        <v>1.639714E-3</v>
      </c>
      <c r="D37" s="5">
        <v>3.40852E-3</v>
      </c>
      <c r="E37" s="5">
        <v>6.5495709999999999E-4</v>
      </c>
      <c r="F37" s="5">
        <v>1.6018E-3</v>
      </c>
      <c r="G37" s="5">
        <v>5.2220809999999995E-4</v>
      </c>
      <c r="H37" s="5">
        <v>-8.1177640000000003E-6</v>
      </c>
      <c r="I37" s="5">
        <v>6.1547149999999998E-3</v>
      </c>
      <c r="J37" s="5">
        <v>2.225641E-3</v>
      </c>
      <c r="K37" s="5">
        <v>3.002191E-3</v>
      </c>
      <c r="L37" s="5">
        <v>8.7532199999999999E-4</v>
      </c>
      <c r="M37" s="5">
        <v>1.277172E-3</v>
      </c>
      <c r="N37" s="5">
        <v>2.238496E-3</v>
      </c>
      <c r="O37" s="5">
        <v>2.126738E-3</v>
      </c>
      <c r="P37" s="5">
        <v>2.357446E-3</v>
      </c>
      <c r="Q37" s="5">
        <v>1.8012519999999999E-3</v>
      </c>
      <c r="R37" s="5">
        <v>2.257014E-4</v>
      </c>
      <c r="S37" s="5">
        <v>1.9780269999999998E-3</v>
      </c>
    </row>
    <row r="38" spans="1:19" x14ac:dyDescent="0.35">
      <c r="A38" s="3">
        <v>3429.2959999999998</v>
      </c>
      <c r="B38" s="5">
        <v>1.3322399999999999E-3</v>
      </c>
      <c r="C38" s="5">
        <v>1.6354570000000001E-3</v>
      </c>
      <c r="D38" s="5">
        <v>3.4182380000000001E-3</v>
      </c>
      <c r="E38" s="5">
        <v>6.5021190000000002E-4</v>
      </c>
      <c r="F38" s="5">
        <v>1.605226E-3</v>
      </c>
      <c r="G38" s="5">
        <v>5.2376729999999995E-4</v>
      </c>
      <c r="H38" s="5">
        <v>2.1537179999999999E-6</v>
      </c>
      <c r="I38" s="5">
        <v>6.1707120000000001E-3</v>
      </c>
      <c r="J38" s="5">
        <v>2.2220109999999999E-3</v>
      </c>
      <c r="K38" s="5">
        <v>3.001157E-3</v>
      </c>
      <c r="L38" s="5">
        <v>8.7807759999999999E-4</v>
      </c>
      <c r="M38" s="5">
        <v>1.2833199999999999E-3</v>
      </c>
      <c r="N38" s="5">
        <v>2.2466560000000001E-3</v>
      </c>
      <c r="O38" s="5">
        <v>2.1204119999999999E-3</v>
      </c>
      <c r="P38" s="5">
        <v>2.3545810000000001E-3</v>
      </c>
      <c r="Q38" s="5">
        <v>1.7980909999999999E-3</v>
      </c>
      <c r="R38" s="5">
        <v>2.1807670000000001E-4</v>
      </c>
      <c r="S38" s="5">
        <v>1.9637809999999999E-3</v>
      </c>
    </row>
    <row r="39" spans="1:19" x14ac:dyDescent="0.35">
      <c r="A39" s="3">
        <v>3429.7779999999998</v>
      </c>
      <c r="B39" s="5">
        <v>1.3253609999999999E-3</v>
      </c>
      <c r="C39" s="5">
        <v>1.633528E-3</v>
      </c>
      <c r="D39" s="5">
        <v>3.4265200000000002E-3</v>
      </c>
      <c r="E39" s="5">
        <v>6.4291149999999998E-4</v>
      </c>
      <c r="F39" s="5">
        <v>1.6098480000000001E-3</v>
      </c>
      <c r="G39" s="5">
        <v>5.2608950000000005E-4</v>
      </c>
      <c r="H39" s="5">
        <v>8.7474750000000005E-6</v>
      </c>
      <c r="I39" s="5">
        <v>6.1836180000000001E-3</v>
      </c>
      <c r="J39" s="5">
        <v>2.2183139999999999E-3</v>
      </c>
      <c r="K39" s="5">
        <v>2.9945169999999999E-3</v>
      </c>
      <c r="L39" s="5">
        <v>8.8325700000000003E-4</v>
      </c>
      <c r="M39" s="5">
        <v>1.291595E-3</v>
      </c>
      <c r="N39" s="5">
        <v>2.2567809999999998E-3</v>
      </c>
      <c r="O39" s="5">
        <v>2.1163499999999999E-3</v>
      </c>
      <c r="P39" s="5">
        <v>2.3523490000000001E-3</v>
      </c>
      <c r="Q39" s="5">
        <v>1.797725E-3</v>
      </c>
      <c r="R39" s="5">
        <v>2.1535839999999999E-4</v>
      </c>
      <c r="S39" s="5">
        <v>1.949236E-3</v>
      </c>
    </row>
    <row r="40" spans="1:19" x14ac:dyDescent="0.35">
      <c r="A40" s="3">
        <v>3430.26</v>
      </c>
      <c r="B40" s="5">
        <v>1.321472E-3</v>
      </c>
      <c r="C40" s="5">
        <v>1.634326E-3</v>
      </c>
      <c r="D40" s="5">
        <v>3.4327649999999999E-3</v>
      </c>
      <c r="E40" s="5">
        <v>6.3471540000000003E-4</v>
      </c>
      <c r="F40" s="5">
        <v>1.613939E-3</v>
      </c>
      <c r="G40" s="5">
        <v>5.2967230000000001E-4</v>
      </c>
      <c r="H40" s="5">
        <v>1.179588E-5</v>
      </c>
      <c r="I40" s="5">
        <v>6.1917509999999997E-3</v>
      </c>
      <c r="J40" s="5">
        <v>2.2154499999999999E-3</v>
      </c>
      <c r="K40" s="5">
        <v>2.9827069999999998E-3</v>
      </c>
      <c r="L40" s="5">
        <v>8.9076059999999998E-4</v>
      </c>
      <c r="M40" s="5">
        <v>1.3000690000000001E-3</v>
      </c>
      <c r="N40" s="5">
        <v>2.26684E-3</v>
      </c>
      <c r="O40" s="5">
        <v>2.1153510000000001E-3</v>
      </c>
      <c r="P40" s="5">
        <v>2.3514819999999998E-3</v>
      </c>
      <c r="Q40" s="5">
        <v>1.800919E-3</v>
      </c>
      <c r="R40" s="5">
        <v>2.1777839999999999E-4</v>
      </c>
      <c r="S40" s="5">
        <v>1.9371220000000001E-3</v>
      </c>
    </row>
    <row r="41" spans="1:19" x14ac:dyDescent="0.35">
      <c r="A41" s="3">
        <v>3430.7420000000002</v>
      </c>
      <c r="B41" s="5">
        <v>1.321406E-3</v>
      </c>
      <c r="C41" s="5">
        <v>1.638151E-3</v>
      </c>
      <c r="D41" s="5">
        <v>3.4363390000000001E-3</v>
      </c>
      <c r="E41" s="5">
        <v>6.2705029999999998E-4</v>
      </c>
      <c r="F41" s="5">
        <v>1.6152689999999999E-3</v>
      </c>
      <c r="G41" s="5">
        <v>5.3484759999999996E-4</v>
      </c>
      <c r="H41" s="5">
        <v>1.2756790000000001E-5</v>
      </c>
      <c r="I41" s="5">
        <v>6.1948100000000002E-3</v>
      </c>
      <c r="J41" s="5">
        <v>2.2137839999999999E-3</v>
      </c>
      <c r="K41" s="5">
        <v>2.9671599999999999E-3</v>
      </c>
      <c r="L41" s="5">
        <v>8.9985810000000005E-4</v>
      </c>
      <c r="M41" s="5">
        <v>1.3070149999999999E-3</v>
      </c>
      <c r="N41" s="5">
        <v>2.2751E-3</v>
      </c>
      <c r="O41" s="5">
        <v>2.1170490000000002E-3</v>
      </c>
      <c r="P41" s="5">
        <v>2.3522489999999998E-3</v>
      </c>
      <c r="Q41" s="5">
        <v>1.8076399999999999E-3</v>
      </c>
      <c r="R41" s="5">
        <v>2.246738E-4</v>
      </c>
      <c r="S41" s="5">
        <v>1.9300330000000001E-3</v>
      </c>
    </row>
    <row r="42" spans="1:19" x14ac:dyDescent="0.35">
      <c r="A42" s="3">
        <v>3431.2240000000002</v>
      </c>
      <c r="B42" s="5">
        <v>1.32566E-3</v>
      </c>
      <c r="C42" s="5">
        <v>1.643905E-3</v>
      </c>
      <c r="D42" s="5">
        <v>3.436639E-3</v>
      </c>
      <c r="E42" s="5">
        <v>6.2071260000000003E-4</v>
      </c>
      <c r="F42" s="5">
        <v>1.612409E-3</v>
      </c>
      <c r="G42" s="5">
        <v>5.4148249999999998E-4</v>
      </c>
      <c r="H42" s="5">
        <v>1.318755E-5</v>
      </c>
      <c r="I42" s="5">
        <v>6.1938690000000003E-3</v>
      </c>
      <c r="J42" s="5">
        <v>2.213918E-3</v>
      </c>
      <c r="K42" s="5">
        <v>2.950313E-3</v>
      </c>
      <c r="L42" s="5">
        <v>9.096862E-4</v>
      </c>
      <c r="M42" s="5">
        <v>1.311169E-3</v>
      </c>
      <c r="N42" s="5">
        <v>2.28013E-3</v>
      </c>
      <c r="O42" s="5">
        <v>2.1204119999999999E-3</v>
      </c>
      <c r="P42" s="5">
        <v>2.3542810000000002E-3</v>
      </c>
      <c r="Q42" s="5">
        <v>1.8170560000000001E-3</v>
      </c>
      <c r="R42" s="5">
        <v>2.3448659999999999E-4</v>
      </c>
      <c r="S42" s="5">
        <v>1.9294340000000001E-3</v>
      </c>
    </row>
    <row r="43" spans="1:19" x14ac:dyDescent="0.35">
      <c r="A43" s="3">
        <v>3431.7069999999999</v>
      </c>
      <c r="B43" s="5">
        <v>1.334135E-3</v>
      </c>
      <c r="C43" s="5">
        <v>1.649859E-3</v>
      </c>
      <c r="D43" s="5">
        <v>3.4335670000000002E-3</v>
      </c>
      <c r="E43" s="5">
        <v>6.1583500000000002E-4</v>
      </c>
      <c r="F43" s="5">
        <v>1.6049930000000001E-3</v>
      </c>
      <c r="G43" s="5">
        <v>5.4921250000000005E-4</v>
      </c>
      <c r="H43" s="5">
        <v>1.444668E-5</v>
      </c>
      <c r="I43" s="5">
        <v>6.1906080000000002E-3</v>
      </c>
      <c r="J43" s="5">
        <v>2.215716E-3</v>
      </c>
      <c r="K43" s="5">
        <v>2.9352010000000001E-3</v>
      </c>
      <c r="L43" s="5">
        <v>9.1881730000000004E-4</v>
      </c>
      <c r="M43" s="5">
        <v>1.3119010000000001E-3</v>
      </c>
      <c r="N43" s="5">
        <v>2.2819950000000002E-3</v>
      </c>
      <c r="O43" s="5">
        <v>2.1236419999999998E-3</v>
      </c>
      <c r="P43" s="5">
        <v>2.3567800000000002E-3</v>
      </c>
      <c r="Q43" s="5">
        <v>1.8283360000000001E-3</v>
      </c>
      <c r="R43" s="5">
        <v>2.4512850000000001E-4</v>
      </c>
      <c r="S43" s="5">
        <v>1.935324E-3</v>
      </c>
    </row>
    <row r="44" spans="1:19" x14ac:dyDescent="0.35">
      <c r="A44" s="3">
        <v>3432.1889999999999</v>
      </c>
      <c r="B44" s="5">
        <v>1.3464320000000001E-3</v>
      </c>
      <c r="C44" s="5">
        <v>1.6537170000000001E-3</v>
      </c>
      <c r="D44" s="5">
        <v>3.4271879999999998E-3</v>
      </c>
      <c r="E44" s="5">
        <v>6.1178679999999996E-4</v>
      </c>
      <c r="F44" s="5">
        <v>1.5940520000000001E-3</v>
      </c>
      <c r="G44" s="5">
        <v>5.5753979999999996E-4</v>
      </c>
      <c r="H44" s="5">
        <v>1.7362580000000001E-5</v>
      </c>
      <c r="I44" s="5">
        <v>6.1871809999999999E-3</v>
      </c>
      <c r="J44" s="5">
        <v>2.219113E-3</v>
      </c>
      <c r="K44" s="5">
        <v>2.92406E-3</v>
      </c>
      <c r="L44" s="5">
        <v>9.2575700000000003E-4</v>
      </c>
      <c r="M44" s="5">
        <v>1.3094739999999999E-3</v>
      </c>
      <c r="N44" s="5">
        <v>2.2817620000000001E-3</v>
      </c>
      <c r="O44" s="5">
        <v>2.125806E-3</v>
      </c>
      <c r="P44" s="5">
        <v>2.3587450000000002E-3</v>
      </c>
      <c r="Q44" s="5">
        <v>1.8396490000000001E-3</v>
      </c>
      <c r="R44" s="5">
        <v>2.5427879999999998E-4</v>
      </c>
      <c r="S44" s="5">
        <v>1.945808E-3</v>
      </c>
    </row>
    <row r="45" spans="1:19" x14ac:dyDescent="0.35">
      <c r="A45" s="3">
        <v>3432.6709999999998</v>
      </c>
      <c r="B45" s="5">
        <v>1.361522E-3</v>
      </c>
      <c r="C45" s="5">
        <v>1.6537170000000001E-3</v>
      </c>
      <c r="D45" s="5">
        <v>3.4180370000000001E-3</v>
      </c>
      <c r="E45" s="5">
        <v>6.078384E-4</v>
      </c>
      <c r="F45" s="5">
        <v>1.5817800000000001E-3</v>
      </c>
      <c r="G45" s="5">
        <v>5.655686E-4</v>
      </c>
      <c r="H45" s="5">
        <v>2.1637070000000001E-5</v>
      </c>
      <c r="I45" s="5">
        <v>6.1849959999999999E-3</v>
      </c>
      <c r="J45" s="5">
        <v>2.2232760000000002E-3</v>
      </c>
      <c r="K45" s="5">
        <v>2.9185560000000001E-3</v>
      </c>
      <c r="L45" s="5">
        <v>9.2911070000000005E-4</v>
      </c>
      <c r="M45" s="5">
        <v>1.3046889999999999E-3</v>
      </c>
      <c r="N45" s="5">
        <v>2.281562E-3</v>
      </c>
      <c r="O45" s="5">
        <v>2.126106E-3</v>
      </c>
      <c r="P45" s="5">
        <v>2.359744E-3</v>
      </c>
      <c r="Q45" s="5">
        <v>1.8496319999999999E-3</v>
      </c>
      <c r="R45" s="5">
        <v>2.5991490000000001E-4</v>
      </c>
      <c r="S45" s="5">
        <v>1.9580230000000001E-3</v>
      </c>
    </row>
    <row r="46" spans="1:19" x14ac:dyDescent="0.35">
      <c r="A46" s="3">
        <v>3433.1529999999998</v>
      </c>
      <c r="B46" s="5">
        <v>1.3780089999999999E-3</v>
      </c>
      <c r="C46" s="5">
        <v>1.648229E-3</v>
      </c>
      <c r="D46" s="5">
        <v>3.407083E-3</v>
      </c>
      <c r="E46" s="5">
        <v>6.0292769999999998E-4</v>
      </c>
      <c r="F46" s="5">
        <v>1.5706069999999999E-3</v>
      </c>
      <c r="G46" s="5">
        <v>5.7273489999999996E-4</v>
      </c>
      <c r="H46" s="5">
        <v>2.647491E-5</v>
      </c>
      <c r="I46" s="5">
        <v>6.1845249999999997E-3</v>
      </c>
      <c r="J46" s="5">
        <v>2.227639E-3</v>
      </c>
      <c r="K46" s="5">
        <v>2.9190900000000001E-3</v>
      </c>
      <c r="L46" s="5">
        <v>9.2811460000000005E-4</v>
      </c>
      <c r="M46" s="5">
        <v>1.298939E-3</v>
      </c>
      <c r="N46" s="5">
        <v>2.2830939999999998E-3</v>
      </c>
      <c r="O46" s="5">
        <v>2.1246070000000001E-3</v>
      </c>
      <c r="P46" s="5">
        <v>2.359711E-3</v>
      </c>
      <c r="Q46" s="5">
        <v>1.8569859999999999E-3</v>
      </c>
      <c r="R46" s="5">
        <v>2.6051170000000002E-4</v>
      </c>
      <c r="S46" s="5">
        <v>1.96904E-3</v>
      </c>
    </row>
    <row r="47" spans="1:19" x14ac:dyDescent="0.35">
      <c r="A47" s="3">
        <v>3433.6350000000002</v>
      </c>
      <c r="B47" s="5">
        <v>1.3939309999999999E-3</v>
      </c>
      <c r="C47" s="5">
        <v>1.637819E-3</v>
      </c>
      <c r="D47" s="5">
        <v>3.395496E-3</v>
      </c>
      <c r="E47" s="5">
        <v>5.9619220000000001E-4</v>
      </c>
      <c r="F47" s="5">
        <v>1.562892E-3</v>
      </c>
      <c r="G47" s="5">
        <v>5.7847469999999996E-4</v>
      </c>
      <c r="H47" s="5">
        <v>3.0650069999999998E-5</v>
      </c>
      <c r="I47" s="5">
        <v>6.1852979999999997E-3</v>
      </c>
      <c r="J47" s="5">
        <v>2.2318020000000002E-3</v>
      </c>
      <c r="K47" s="5">
        <v>2.9246599999999999E-3</v>
      </c>
      <c r="L47" s="5">
        <v>9.22835E-4</v>
      </c>
      <c r="M47" s="5">
        <v>1.2937549999999999E-3</v>
      </c>
      <c r="N47" s="5">
        <v>2.2874240000000001E-3</v>
      </c>
      <c r="O47" s="5">
        <v>2.1219440000000002E-3</v>
      </c>
      <c r="P47" s="5">
        <v>2.359178E-3</v>
      </c>
      <c r="Q47" s="5">
        <v>1.8599809999999999E-3</v>
      </c>
      <c r="R47" s="5">
        <v>2.5583700000000002E-4</v>
      </c>
      <c r="S47" s="5">
        <v>1.9767959999999998E-3</v>
      </c>
    </row>
    <row r="48" spans="1:19" x14ac:dyDescent="0.35">
      <c r="A48" s="3">
        <v>3434.1170000000002</v>
      </c>
      <c r="B48" s="5">
        <v>1.4075590000000001E-3</v>
      </c>
      <c r="C48" s="5">
        <v>1.62385E-3</v>
      </c>
      <c r="D48" s="5">
        <v>3.38471E-3</v>
      </c>
      <c r="E48" s="5">
        <v>5.8739969999999997E-4</v>
      </c>
      <c r="F48" s="5">
        <v>1.559766E-3</v>
      </c>
      <c r="G48" s="5">
        <v>5.8242289999999996E-4</v>
      </c>
      <c r="H48" s="5">
        <v>3.3035889999999999E-5</v>
      </c>
      <c r="I48" s="5">
        <v>6.1860040000000002E-3</v>
      </c>
      <c r="J48" s="5">
        <v>2.2356989999999998E-3</v>
      </c>
      <c r="K48" s="5">
        <v>2.9338670000000002E-3</v>
      </c>
      <c r="L48" s="5">
        <v>9.1403589999999998E-4</v>
      </c>
      <c r="M48" s="5">
        <v>1.2901659999999999E-3</v>
      </c>
      <c r="N48" s="5">
        <v>2.2944860000000001E-3</v>
      </c>
      <c r="O48" s="5">
        <v>2.1187469999999998E-3</v>
      </c>
      <c r="P48" s="5">
        <v>2.3589779999999999E-3</v>
      </c>
      <c r="Q48" s="5">
        <v>1.8574520000000001E-3</v>
      </c>
      <c r="R48" s="5">
        <v>2.4701820000000001E-4</v>
      </c>
      <c r="S48" s="5">
        <v>1.981156E-3</v>
      </c>
    </row>
    <row r="49" spans="1:19" x14ac:dyDescent="0.35">
      <c r="A49" s="3">
        <v>3434.5990000000002</v>
      </c>
      <c r="B49" s="5">
        <v>1.4176320000000001E-3</v>
      </c>
      <c r="C49" s="5">
        <v>1.6090500000000001E-3</v>
      </c>
      <c r="D49" s="5">
        <v>3.3760610000000001E-3</v>
      </c>
      <c r="E49" s="5">
        <v>5.7718069999999997E-4</v>
      </c>
      <c r="F49" s="5">
        <v>1.5610299999999999E-3</v>
      </c>
      <c r="G49" s="5">
        <v>5.8434719999999999E-4</v>
      </c>
      <c r="H49" s="5">
        <v>3.3334119999999998E-5</v>
      </c>
      <c r="I49" s="5">
        <v>6.1858700000000004E-3</v>
      </c>
      <c r="J49" s="5">
        <v>2.2394289999999998E-3</v>
      </c>
      <c r="K49" s="5">
        <v>2.9447420000000002E-3</v>
      </c>
      <c r="L49" s="5">
        <v>9.0331120000000003E-4</v>
      </c>
      <c r="M49" s="5">
        <v>1.2890689999999999E-3</v>
      </c>
      <c r="N49" s="5">
        <v>2.3027799999999999E-3</v>
      </c>
      <c r="O49" s="5">
        <v>2.1152509999999999E-3</v>
      </c>
      <c r="P49" s="5">
        <v>2.3598109999999999E-3</v>
      </c>
      <c r="Q49" s="5">
        <v>1.8485000000000001E-3</v>
      </c>
      <c r="R49" s="5">
        <v>2.355143E-4</v>
      </c>
      <c r="S49" s="5">
        <v>1.9832199999999999E-3</v>
      </c>
    </row>
    <row r="50" spans="1:19" x14ac:dyDescent="0.35">
      <c r="A50" s="3">
        <v>3435.0810000000001</v>
      </c>
      <c r="B50" s="5">
        <v>1.423349E-3</v>
      </c>
      <c r="C50" s="5">
        <v>1.5967119999999999E-3</v>
      </c>
      <c r="D50" s="5">
        <v>3.369983E-3</v>
      </c>
      <c r="E50" s="5">
        <v>5.6702840000000005E-4</v>
      </c>
      <c r="F50" s="5">
        <v>1.5654519999999999E-3</v>
      </c>
      <c r="G50" s="5">
        <v>5.8398230000000003E-4</v>
      </c>
      <c r="H50" s="5">
        <v>3.1345930000000003E-5</v>
      </c>
      <c r="I50" s="5">
        <v>6.1842900000000003E-3</v>
      </c>
      <c r="J50" s="5">
        <v>2.2433919999999999E-3</v>
      </c>
      <c r="K50" s="5">
        <v>2.955751E-3</v>
      </c>
      <c r="L50" s="5">
        <v>8.9225480000000004E-4</v>
      </c>
      <c r="M50" s="5">
        <v>1.290631E-3</v>
      </c>
      <c r="N50" s="5">
        <v>2.3099420000000002E-3</v>
      </c>
      <c r="O50" s="5">
        <v>2.1117879999999999E-3</v>
      </c>
      <c r="P50" s="5">
        <v>2.3621430000000001E-3</v>
      </c>
      <c r="Q50" s="5">
        <v>1.8326950000000001E-3</v>
      </c>
      <c r="R50" s="5">
        <v>2.237455E-4</v>
      </c>
      <c r="S50" s="5">
        <v>1.9848840000000001E-3</v>
      </c>
    </row>
    <row r="51" spans="1:19" x14ac:dyDescent="0.35">
      <c r="A51" s="3">
        <v>3435.5630000000001</v>
      </c>
      <c r="B51" s="5">
        <v>1.424912E-3</v>
      </c>
      <c r="C51" s="5">
        <v>1.5893960000000001E-3</v>
      </c>
      <c r="D51" s="5">
        <v>3.3663769999999998E-3</v>
      </c>
      <c r="E51" s="5">
        <v>5.5853499999999998E-4</v>
      </c>
      <c r="F51" s="5">
        <v>1.571205E-3</v>
      </c>
      <c r="G51" s="5">
        <v>5.8099620000000003E-4</v>
      </c>
      <c r="H51" s="5">
        <v>2.7601529999999999E-5</v>
      </c>
      <c r="I51" s="5">
        <v>6.1816350000000004E-3</v>
      </c>
      <c r="J51" s="5">
        <v>2.2476890000000002E-3</v>
      </c>
      <c r="K51" s="5">
        <v>2.965559E-3</v>
      </c>
      <c r="L51" s="5">
        <v>8.8222780000000002E-4</v>
      </c>
      <c r="M51" s="5">
        <v>1.2945859999999999E-3</v>
      </c>
      <c r="N51" s="5">
        <v>2.3136060000000002E-3</v>
      </c>
      <c r="O51" s="5">
        <v>2.1081260000000001E-3</v>
      </c>
      <c r="P51" s="5">
        <v>2.3661070000000001E-3</v>
      </c>
      <c r="Q51" s="5">
        <v>1.8108340000000001E-3</v>
      </c>
      <c r="R51" s="5">
        <v>2.1389980000000001E-4</v>
      </c>
      <c r="S51" s="5">
        <v>1.98788E-3</v>
      </c>
    </row>
    <row r="52" spans="1:19" x14ac:dyDescent="0.35">
      <c r="A52" s="3">
        <v>3436.0459999999998</v>
      </c>
      <c r="B52" s="5">
        <v>1.423283E-3</v>
      </c>
      <c r="C52" s="5">
        <v>1.5886310000000001E-3</v>
      </c>
      <c r="D52" s="5">
        <v>3.3646739999999998E-3</v>
      </c>
      <c r="E52" s="5">
        <v>5.540562E-4</v>
      </c>
      <c r="F52" s="5">
        <v>1.576493E-3</v>
      </c>
      <c r="G52" s="5">
        <v>5.7545549999999995E-4</v>
      </c>
      <c r="H52" s="5">
        <v>2.239919E-5</v>
      </c>
      <c r="I52" s="5">
        <v>6.1783410000000004E-3</v>
      </c>
      <c r="J52" s="5">
        <v>2.2525510000000002E-3</v>
      </c>
      <c r="K52" s="5">
        <v>2.9734990000000001E-3</v>
      </c>
      <c r="L52" s="5">
        <v>8.7372830000000004E-4</v>
      </c>
      <c r="M52" s="5">
        <v>1.3003349999999999E-3</v>
      </c>
      <c r="N52" s="5">
        <v>2.312574E-3</v>
      </c>
      <c r="O52" s="5">
        <v>2.1042639999999998E-3</v>
      </c>
      <c r="P52" s="5">
        <v>2.3715049999999999E-3</v>
      </c>
      <c r="Q52" s="5">
        <v>1.784716E-3</v>
      </c>
      <c r="R52" s="5">
        <v>2.0809849999999999E-4</v>
      </c>
      <c r="S52" s="5">
        <v>1.9930059999999999E-3</v>
      </c>
    </row>
    <row r="53" spans="1:19" x14ac:dyDescent="0.35">
      <c r="A53" s="3">
        <v>3436.5279999999998</v>
      </c>
      <c r="B53" s="5">
        <v>1.4196930000000001E-3</v>
      </c>
      <c r="C53" s="5">
        <v>1.5942179999999999E-3</v>
      </c>
      <c r="D53" s="5">
        <v>3.363806E-3</v>
      </c>
      <c r="E53" s="5">
        <v>5.5528369999999997E-4</v>
      </c>
      <c r="F53" s="5">
        <v>1.5800510000000001E-3</v>
      </c>
      <c r="G53" s="5">
        <v>5.6689559999999997E-4</v>
      </c>
      <c r="H53" s="5">
        <v>1.6302250000000001E-5</v>
      </c>
      <c r="I53" s="5">
        <v>6.1751820000000004E-3</v>
      </c>
      <c r="J53" s="5">
        <v>2.2584800000000002E-3</v>
      </c>
      <c r="K53" s="5">
        <v>2.9792040000000001E-3</v>
      </c>
      <c r="L53" s="5">
        <v>8.6662339999999999E-4</v>
      </c>
      <c r="M53" s="5">
        <v>1.3070480000000001E-3</v>
      </c>
      <c r="N53" s="5">
        <v>2.3073439999999998E-3</v>
      </c>
      <c r="O53" s="5">
        <v>2.1002680000000002E-3</v>
      </c>
      <c r="P53" s="5">
        <v>2.377835E-3</v>
      </c>
      <c r="Q53" s="5">
        <v>1.757535E-3</v>
      </c>
      <c r="R53" s="5">
        <v>2.0730290000000001E-4</v>
      </c>
      <c r="S53" s="5">
        <v>1.999996E-3</v>
      </c>
    </row>
    <row r="54" spans="1:19" x14ac:dyDescent="0.35">
      <c r="A54" s="3">
        <v>3437.01</v>
      </c>
      <c r="B54" s="5">
        <v>1.4155369999999999E-3</v>
      </c>
      <c r="C54" s="5">
        <v>1.60476E-3</v>
      </c>
      <c r="D54" s="5">
        <v>3.3628709999999999E-3</v>
      </c>
      <c r="E54" s="5">
        <v>5.6254950000000003E-4</v>
      </c>
      <c r="F54" s="5">
        <v>1.5814480000000001E-3</v>
      </c>
      <c r="G54" s="5">
        <v>5.5558229999999999E-4</v>
      </c>
      <c r="H54" s="5">
        <v>9.9071899999999999E-6</v>
      </c>
      <c r="I54" s="5">
        <v>6.1724600000000003E-3</v>
      </c>
      <c r="J54" s="5">
        <v>2.2656410000000001E-3</v>
      </c>
      <c r="K54" s="5">
        <v>2.9824069999999999E-3</v>
      </c>
      <c r="L54" s="5">
        <v>8.6004980000000005E-4</v>
      </c>
      <c r="M54" s="5">
        <v>1.3141610000000001E-3</v>
      </c>
      <c r="N54" s="5">
        <v>2.299616E-3</v>
      </c>
      <c r="O54" s="5">
        <v>2.0964730000000002E-3</v>
      </c>
      <c r="P54" s="5">
        <v>2.384831E-3</v>
      </c>
      <c r="Q54" s="5">
        <v>1.7330500000000001E-3</v>
      </c>
      <c r="R54" s="5">
        <v>2.1154609999999999E-4</v>
      </c>
      <c r="S54" s="5">
        <v>2.0073529999999999E-3</v>
      </c>
    </row>
    <row r="55" spans="1:19" x14ac:dyDescent="0.35">
      <c r="A55" s="3">
        <v>3437.4920000000002</v>
      </c>
      <c r="B55" s="5">
        <v>1.4118480000000001E-3</v>
      </c>
      <c r="C55" s="5">
        <v>1.617631E-3</v>
      </c>
      <c r="D55" s="5">
        <v>3.3612680000000002E-3</v>
      </c>
      <c r="E55" s="5">
        <v>5.750242E-4</v>
      </c>
      <c r="F55" s="5">
        <v>1.581049E-3</v>
      </c>
      <c r="G55" s="5">
        <v>5.4207970000000002E-4</v>
      </c>
      <c r="H55" s="5">
        <v>3.6778939999999998E-6</v>
      </c>
      <c r="I55" s="5">
        <v>6.1701070000000002E-3</v>
      </c>
      <c r="J55" s="5">
        <v>2.274501E-3</v>
      </c>
      <c r="K55" s="5">
        <v>2.9829069999999999E-3</v>
      </c>
      <c r="L55" s="5">
        <v>8.5317749999999995E-4</v>
      </c>
      <c r="M55" s="5">
        <v>1.3206750000000001E-3</v>
      </c>
      <c r="N55" s="5">
        <v>2.291988E-3</v>
      </c>
      <c r="O55" s="5">
        <v>2.093176E-3</v>
      </c>
      <c r="P55" s="5">
        <v>2.3915939999999999E-3</v>
      </c>
      <c r="Q55" s="5">
        <v>1.7151860000000001E-3</v>
      </c>
      <c r="R55" s="5">
        <v>2.2033099999999999E-4</v>
      </c>
      <c r="S55" s="5">
        <v>2.0139440000000002E-3</v>
      </c>
    </row>
    <row r="56" spans="1:19" x14ac:dyDescent="0.35">
      <c r="A56" s="3">
        <v>3437.9740000000002</v>
      </c>
      <c r="B56" s="5">
        <v>1.408723E-3</v>
      </c>
      <c r="C56" s="5">
        <v>1.630435E-3</v>
      </c>
      <c r="D56" s="5">
        <v>3.3593310000000001E-3</v>
      </c>
      <c r="E56" s="5">
        <v>5.9065120000000005E-4</v>
      </c>
      <c r="F56" s="5">
        <v>1.579818E-3</v>
      </c>
      <c r="G56" s="5">
        <v>5.2788089999999998E-4</v>
      </c>
      <c r="H56" s="5">
        <v>-1.524163E-6</v>
      </c>
      <c r="I56" s="5">
        <v>6.1680229999999999E-3</v>
      </c>
      <c r="J56" s="5">
        <v>2.285526E-3</v>
      </c>
      <c r="K56" s="5">
        <v>2.9806720000000002E-3</v>
      </c>
      <c r="L56" s="5">
        <v>8.4577420000000005E-4</v>
      </c>
      <c r="M56" s="5">
        <v>1.325693E-3</v>
      </c>
      <c r="N56" s="5">
        <v>2.2870579999999998E-3</v>
      </c>
      <c r="O56" s="5">
        <v>2.0910120000000002E-3</v>
      </c>
      <c r="P56" s="5">
        <v>2.3974909999999999E-3</v>
      </c>
      <c r="Q56" s="5">
        <v>1.70707E-3</v>
      </c>
      <c r="R56" s="5">
        <v>2.3209970000000001E-4</v>
      </c>
      <c r="S56" s="5">
        <v>2.0188039999999999E-3</v>
      </c>
    </row>
    <row r="57" spans="1:19" x14ac:dyDescent="0.35">
      <c r="A57" s="3">
        <v>3438.4560000000001</v>
      </c>
      <c r="B57" s="5">
        <v>1.405798E-3</v>
      </c>
      <c r="C57" s="5">
        <v>1.641277E-3</v>
      </c>
      <c r="D57" s="5">
        <v>3.3579289999999999E-3</v>
      </c>
      <c r="E57" s="5">
        <v>6.0651110000000004E-4</v>
      </c>
      <c r="F57" s="5">
        <v>1.578821E-3</v>
      </c>
      <c r="G57" s="5">
        <v>5.1481040000000001E-4</v>
      </c>
      <c r="H57" s="5">
        <v>-4.5724730000000002E-6</v>
      </c>
      <c r="I57" s="5">
        <v>6.1663430000000003E-3</v>
      </c>
      <c r="J57" s="5">
        <v>2.297884E-3</v>
      </c>
      <c r="K57" s="5">
        <v>2.9763350000000001E-3</v>
      </c>
      <c r="L57" s="5">
        <v>8.3813859999999998E-4</v>
      </c>
      <c r="M57" s="5">
        <v>1.3283520000000001E-3</v>
      </c>
      <c r="N57" s="5">
        <v>2.2863250000000001E-3</v>
      </c>
      <c r="O57" s="5">
        <v>2.0902130000000001E-3</v>
      </c>
      <c r="P57" s="5">
        <v>2.401823E-3</v>
      </c>
      <c r="Q57" s="5">
        <v>1.7102630000000001E-3</v>
      </c>
      <c r="R57" s="5">
        <v>2.4536060000000001E-4</v>
      </c>
      <c r="S57" s="5">
        <v>2.021966E-3</v>
      </c>
    </row>
    <row r="58" spans="1:19" x14ac:dyDescent="0.35">
      <c r="A58" s="3">
        <v>3438.9380000000001</v>
      </c>
      <c r="B58" s="5">
        <v>1.4022080000000001E-3</v>
      </c>
      <c r="C58" s="5">
        <v>1.6493600000000001E-3</v>
      </c>
      <c r="D58" s="5">
        <v>3.3580960000000001E-3</v>
      </c>
      <c r="E58" s="5">
        <v>6.1994939999999998E-4</v>
      </c>
      <c r="F58" s="5">
        <v>1.578987E-3</v>
      </c>
      <c r="G58" s="5">
        <v>5.0499119999999995E-4</v>
      </c>
      <c r="H58" s="5">
        <v>-4.373671E-6</v>
      </c>
      <c r="I58" s="5">
        <v>6.1654689999999998E-3</v>
      </c>
      <c r="J58" s="5">
        <v>2.3107750000000002E-3</v>
      </c>
      <c r="K58" s="5">
        <v>2.9706300000000001E-3</v>
      </c>
      <c r="L58" s="5">
        <v>8.3129980000000003E-4</v>
      </c>
      <c r="M58" s="5">
        <v>1.327754E-3</v>
      </c>
      <c r="N58" s="5">
        <v>2.2893229999999998E-3</v>
      </c>
      <c r="O58" s="5">
        <v>2.0907790000000001E-3</v>
      </c>
      <c r="P58" s="5">
        <v>2.4035549999999999E-3</v>
      </c>
      <c r="Q58" s="5">
        <v>1.7243009999999999E-3</v>
      </c>
      <c r="R58" s="5">
        <v>2.5865509999999998E-4</v>
      </c>
      <c r="S58" s="5">
        <v>2.0237969999999999E-3</v>
      </c>
    </row>
    <row r="59" spans="1:19" x14ac:dyDescent="0.35">
      <c r="A59" s="3">
        <v>3439.42</v>
      </c>
      <c r="B59" s="5">
        <v>1.3968889999999999E-3</v>
      </c>
      <c r="C59" s="5">
        <v>1.65518E-3</v>
      </c>
      <c r="D59" s="5">
        <v>3.360834E-3</v>
      </c>
      <c r="E59" s="5">
        <v>6.290744E-4</v>
      </c>
      <c r="F59" s="5">
        <v>1.58045E-3</v>
      </c>
      <c r="G59" s="5">
        <v>5.0047969999999998E-4</v>
      </c>
      <c r="H59" s="5">
        <v>-5.3014429999999999E-7</v>
      </c>
      <c r="I59" s="5">
        <v>6.1659729999999999E-3</v>
      </c>
      <c r="J59" s="5">
        <v>2.3218679999999999E-3</v>
      </c>
      <c r="K59" s="5">
        <v>2.9651249999999999E-3</v>
      </c>
      <c r="L59" s="5">
        <v>8.2678500000000002E-4</v>
      </c>
      <c r="M59" s="5">
        <v>1.3233330000000001E-3</v>
      </c>
      <c r="N59" s="5">
        <v>2.2943859999999998E-3</v>
      </c>
      <c r="O59" s="5">
        <v>2.0924440000000002E-3</v>
      </c>
      <c r="P59" s="5">
        <v>2.4017560000000001E-3</v>
      </c>
      <c r="Q59" s="5">
        <v>1.7471889999999999E-3</v>
      </c>
      <c r="R59" s="5">
        <v>2.7082270000000001E-4</v>
      </c>
      <c r="S59" s="5">
        <v>2.0251620000000001E-3</v>
      </c>
    </row>
    <row r="60" spans="1:19" x14ac:dyDescent="0.35">
      <c r="A60" s="3">
        <v>3439.9029999999998</v>
      </c>
      <c r="B60" s="5">
        <v>1.3891109999999999E-3</v>
      </c>
      <c r="C60" s="5">
        <v>1.6598369999999999E-3</v>
      </c>
      <c r="D60" s="5">
        <v>3.366277E-3</v>
      </c>
      <c r="E60" s="5">
        <v>6.3342119999999997E-4</v>
      </c>
      <c r="F60" s="5">
        <v>1.5834099999999999E-3</v>
      </c>
      <c r="G60" s="5">
        <v>5.0260280000000005E-4</v>
      </c>
      <c r="H60" s="5">
        <v>7.0244729999999997E-6</v>
      </c>
      <c r="I60" s="5">
        <v>6.1681239999999997E-3</v>
      </c>
      <c r="J60" s="5">
        <v>2.32883E-3</v>
      </c>
      <c r="K60" s="5">
        <v>2.9613220000000002E-3</v>
      </c>
      <c r="L60" s="5">
        <v>8.2598820000000001E-4</v>
      </c>
      <c r="M60" s="5">
        <v>1.3154569999999999E-3</v>
      </c>
      <c r="N60" s="5">
        <v>2.298783E-3</v>
      </c>
      <c r="O60" s="5">
        <v>2.0952739999999998E-3</v>
      </c>
      <c r="P60" s="5">
        <v>2.3964590000000001E-3</v>
      </c>
      <c r="Q60" s="5">
        <v>1.774901E-3</v>
      </c>
      <c r="R60" s="5">
        <v>2.8173070000000002E-4</v>
      </c>
      <c r="S60" s="5">
        <v>2.0262600000000002E-3</v>
      </c>
    </row>
    <row r="61" spans="1:19" x14ac:dyDescent="0.35">
      <c r="A61" s="3">
        <v>3440.3850000000002</v>
      </c>
      <c r="B61" s="5">
        <v>1.37874E-3</v>
      </c>
      <c r="C61" s="5">
        <v>1.6645270000000001E-3</v>
      </c>
      <c r="D61" s="5">
        <v>3.3739569999999999E-3</v>
      </c>
      <c r="E61" s="5">
        <v>6.3388579999999999E-4</v>
      </c>
      <c r="F61" s="5">
        <v>1.5873339999999999E-3</v>
      </c>
      <c r="G61" s="5">
        <v>5.1116129999999999E-4</v>
      </c>
      <c r="H61" s="5">
        <v>1.6964960000000002E-5</v>
      </c>
      <c r="I61" s="5">
        <v>6.171518E-3</v>
      </c>
      <c r="J61" s="5">
        <v>2.3294959999999999E-3</v>
      </c>
      <c r="K61" s="5">
        <v>2.9604879999999998E-3</v>
      </c>
      <c r="L61" s="5">
        <v>8.2927480000000002E-4</v>
      </c>
      <c r="M61" s="5">
        <v>1.305121E-3</v>
      </c>
      <c r="N61" s="5">
        <v>2.2997489999999998E-3</v>
      </c>
      <c r="O61" s="5">
        <v>2.0991360000000001E-3</v>
      </c>
      <c r="P61" s="5">
        <v>2.3880630000000002E-3</v>
      </c>
      <c r="Q61" s="5">
        <v>1.8032149999999999E-3</v>
      </c>
      <c r="R61" s="5">
        <v>2.9111380000000002E-4</v>
      </c>
      <c r="S61" s="5">
        <v>2.026726E-3</v>
      </c>
    </row>
    <row r="62" spans="1:19" x14ac:dyDescent="0.35">
      <c r="A62" s="3">
        <v>3440.8670000000002</v>
      </c>
      <c r="B62" s="5">
        <v>1.3662419999999999E-3</v>
      </c>
      <c r="C62" s="5">
        <v>1.6699480000000001E-3</v>
      </c>
      <c r="D62" s="5">
        <v>3.3824049999999998E-3</v>
      </c>
      <c r="E62" s="5">
        <v>6.3212719999999997E-4</v>
      </c>
      <c r="F62" s="5">
        <v>1.591325E-3</v>
      </c>
      <c r="G62" s="5">
        <v>5.2476249999999997E-4</v>
      </c>
      <c r="H62" s="5">
        <v>2.7601529999999999E-5</v>
      </c>
      <c r="I62" s="5">
        <v>6.1749800000000001E-3</v>
      </c>
      <c r="J62" s="5">
        <v>2.3232000000000001E-3</v>
      </c>
      <c r="K62" s="5">
        <v>2.963224E-3</v>
      </c>
      <c r="L62" s="5">
        <v>8.3641219999999999E-4</v>
      </c>
      <c r="M62" s="5">
        <v>1.2943200000000001E-3</v>
      </c>
      <c r="N62" s="5">
        <v>2.2958179999999998E-3</v>
      </c>
      <c r="O62" s="5">
        <v>2.104463E-3</v>
      </c>
      <c r="P62" s="5">
        <v>2.3777680000000002E-3</v>
      </c>
      <c r="Q62" s="5">
        <v>1.8280029999999999E-3</v>
      </c>
      <c r="R62" s="5">
        <v>2.9993350000000001E-4</v>
      </c>
      <c r="S62" s="5">
        <v>2.0259280000000002E-3</v>
      </c>
    </row>
    <row r="63" spans="1:19" x14ac:dyDescent="0.35">
      <c r="A63" s="3">
        <v>3441.3490000000002</v>
      </c>
      <c r="B63" s="5">
        <v>1.3526809999999999E-3</v>
      </c>
      <c r="C63" s="5">
        <v>1.676068E-3</v>
      </c>
      <c r="D63" s="5">
        <v>3.3899860000000002E-3</v>
      </c>
      <c r="E63" s="5">
        <v>6.2967169999999996E-4</v>
      </c>
      <c r="F63" s="5">
        <v>1.5945499999999999E-3</v>
      </c>
      <c r="G63" s="5">
        <v>5.4105129999999996E-4</v>
      </c>
      <c r="H63" s="5">
        <v>3.6813480000000001E-5</v>
      </c>
      <c r="I63" s="5">
        <v>6.1764929999999999E-3</v>
      </c>
      <c r="J63" s="5">
        <v>2.3107409999999998E-3</v>
      </c>
      <c r="K63" s="5">
        <v>2.968895E-3</v>
      </c>
      <c r="L63" s="5">
        <v>8.4630529999999999E-4</v>
      </c>
      <c r="M63" s="5">
        <v>1.284749E-3</v>
      </c>
      <c r="N63" s="5">
        <v>2.2867920000000002E-3</v>
      </c>
      <c r="O63" s="5">
        <v>2.111688E-3</v>
      </c>
      <c r="P63" s="5">
        <v>2.3674070000000002E-3</v>
      </c>
      <c r="Q63" s="5">
        <v>1.8464709999999999E-3</v>
      </c>
      <c r="R63" s="5">
        <v>3.0905169999999999E-4</v>
      </c>
      <c r="S63" s="5">
        <v>2.022898E-3</v>
      </c>
    </row>
    <row r="64" spans="1:19" x14ac:dyDescent="0.35">
      <c r="A64" s="3">
        <v>3441.8310000000001</v>
      </c>
      <c r="B64" s="5">
        <v>1.3393529999999999E-3</v>
      </c>
      <c r="C64" s="5">
        <v>1.682355E-3</v>
      </c>
      <c r="D64" s="5">
        <v>3.395262E-3</v>
      </c>
      <c r="E64" s="5">
        <v>6.2787979999999997E-4</v>
      </c>
      <c r="F64" s="5">
        <v>1.596047E-3</v>
      </c>
      <c r="G64" s="5">
        <v>5.569425E-4</v>
      </c>
      <c r="H64" s="5">
        <v>4.2976979999999997E-5</v>
      </c>
      <c r="I64" s="5">
        <v>6.1747449999999997E-3</v>
      </c>
      <c r="J64" s="5">
        <v>2.2949189999999999E-3</v>
      </c>
      <c r="K64" s="5">
        <v>2.9762349999999998E-3</v>
      </c>
      <c r="L64" s="5">
        <v>8.5782540000000002E-4</v>
      </c>
      <c r="M64" s="5">
        <v>1.278501E-3</v>
      </c>
      <c r="N64" s="5">
        <v>2.2746340000000002E-3</v>
      </c>
      <c r="O64" s="5">
        <v>2.1214440000000001E-3</v>
      </c>
      <c r="P64" s="5">
        <v>2.3588120000000001E-3</v>
      </c>
      <c r="Q64" s="5">
        <v>1.857418E-3</v>
      </c>
      <c r="R64" s="5">
        <v>3.1919810000000001E-4</v>
      </c>
      <c r="S64" s="5">
        <v>2.017872E-3</v>
      </c>
    </row>
    <row r="65" spans="1:19" x14ac:dyDescent="0.35">
      <c r="A65" s="3">
        <v>3442.3130000000001</v>
      </c>
      <c r="B65" s="5">
        <v>1.327089E-3</v>
      </c>
      <c r="C65" s="5">
        <v>1.6882760000000001E-3</v>
      </c>
      <c r="D65" s="5">
        <v>3.3979330000000001E-3</v>
      </c>
      <c r="E65" s="5">
        <v>6.2675160000000003E-4</v>
      </c>
      <c r="F65" s="5">
        <v>1.5950490000000001E-3</v>
      </c>
      <c r="G65" s="5">
        <v>5.6948350000000003E-4</v>
      </c>
      <c r="H65" s="5">
        <v>4.5329730000000003E-5</v>
      </c>
      <c r="I65" s="5">
        <v>6.1691990000000002E-3</v>
      </c>
      <c r="J65" s="5">
        <v>2.2794640000000001E-3</v>
      </c>
      <c r="K65" s="5">
        <v>2.9835410000000001E-3</v>
      </c>
      <c r="L65" s="5">
        <v>8.6967779999999996E-4</v>
      </c>
      <c r="M65" s="5">
        <v>1.275743E-3</v>
      </c>
      <c r="N65" s="5">
        <v>2.2620100000000001E-3</v>
      </c>
      <c r="O65" s="5">
        <v>2.1338640000000001E-3</v>
      </c>
      <c r="P65" s="5">
        <v>2.353581E-3</v>
      </c>
      <c r="Q65" s="5">
        <v>1.8620100000000001E-3</v>
      </c>
      <c r="R65" s="5">
        <v>3.3103579999999998E-4</v>
      </c>
      <c r="S65" s="5">
        <v>2.011447E-3</v>
      </c>
    </row>
    <row r="66" spans="1:19" x14ac:dyDescent="0.35">
      <c r="A66" s="3">
        <v>3442.7950000000001</v>
      </c>
      <c r="B66" s="5">
        <v>1.316188E-3</v>
      </c>
      <c r="C66" s="5">
        <v>1.6937969999999999E-3</v>
      </c>
      <c r="D66" s="5">
        <v>3.3986009999999998E-3</v>
      </c>
      <c r="E66" s="5">
        <v>6.2568979999999997E-4</v>
      </c>
      <c r="F66" s="5">
        <v>1.59179E-3</v>
      </c>
      <c r="G66" s="5">
        <v>5.7701479999999999E-4</v>
      </c>
      <c r="H66" s="5">
        <v>4.3871690000000001E-5</v>
      </c>
      <c r="I66" s="5">
        <v>6.1606969999999997E-3</v>
      </c>
      <c r="J66" s="5">
        <v>2.2680719999999999E-3</v>
      </c>
      <c r="K66" s="5">
        <v>2.9892130000000001E-3</v>
      </c>
      <c r="L66" s="5">
        <v>8.817629E-4</v>
      </c>
      <c r="M66" s="5">
        <v>1.275677E-3</v>
      </c>
      <c r="N66" s="5">
        <v>2.252118E-3</v>
      </c>
      <c r="O66" s="5">
        <v>2.1486809999999999E-3</v>
      </c>
      <c r="P66" s="5">
        <v>2.3525820000000002E-3</v>
      </c>
      <c r="Q66" s="5">
        <v>1.8626090000000001E-3</v>
      </c>
      <c r="R66" s="5">
        <v>3.4446550000000002E-4</v>
      </c>
      <c r="S66" s="5">
        <v>2.005256E-3</v>
      </c>
    </row>
    <row r="67" spans="1:19" x14ac:dyDescent="0.35">
      <c r="A67" s="3">
        <v>3443.277</v>
      </c>
      <c r="B67" s="5">
        <v>1.3065170000000001E-3</v>
      </c>
      <c r="C67" s="5">
        <v>1.6997850000000001E-3</v>
      </c>
      <c r="D67" s="5">
        <v>3.3988019999999998E-3</v>
      </c>
      <c r="E67" s="5">
        <v>6.2376529999999997E-4</v>
      </c>
      <c r="F67" s="5">
        <v>1.5867019999999999E-3</v>
      </c>
      <c r="G67" s="5">
        <v>5.7900550000000001E-4</v>
      </c>
      <c r="H67" s="5">
        <v>3.9365020000000001E-5</v>
      </c>
      <c r="I67" s="5">
        <v>6.1517910000000002E-3</v>
      </c>
      <c r="J67" s="5">
        <v>2.2632429999999999E-3</v>
      </c>
      <c r="K67" s="5">
        <v>2.9917820000000001E-3</v>
      </c>
      <c r="L67" s="5">
        <v>8.9477809999999997E-4</v>
      </c>
      <c r="M67" s="5">
        <v>1.2764079999999999E-3</v>
      </c>
      <c r="N67" s="5">
        <v>2.2472220000000001E-3</v>
      </c>
      <c r="O67" s="5">
        <v>2.1651309999999998E-3</v>
      </c>
      <c r="P67" s="5">
        <v>2.3556139999999998E-3</v>
      </c>
      <c r="Q67" s="5">
        <v>1.862942E-3</v>
      </c>
      <c r="R67" s="5">
        <v>3.587579E-4</v>
      </c>
      <c r="S67" s="5">
        <v>2.0007620000000001E-3</v>
      </c>
    </row>
    <row r="68" spans="1:19" x14ac:dyDescent="0.35">
      <c r="A68" s="3">
        <v>3443.76</v>
      </c>
      <c r="B68" s="5">
        <v>1.297178E-3</v>
      </c>
      <c r="C68" s="5">
        <v>1.7076019999999999E-3</v>
      </c>
      <c r="D68" s="5">
        <v>3.4003039999999998E-3</v>
      </c>
      <c r="E68" s="5">
        <v>6.2051350000000001E-4</v>
      </c>
      <c r="F68" s="5">
        <v>1.581049E-3</v>
      </c>
      <c r="G68" s="5">
        <v>5.7648400000000005E-4</v>
      </c>
      <c r="H68" s="5">
        <v>3.2870210000000003E-5</v>
      </c>
      <c r="I68" s="5">
        <v>6.1452039999999996E-3</v>
      </c>
      <c r="J68" s="5">
        <v>2.2657739999999999E-3</v>
      </c>
      <c r="K68" s="5">
        <v>2.991114E-3</v>
      </c>
      <c r="L68" s="5">
        <v>9.0971940000000005E-4</v>
      </c>
      <c r="M68" s="5">
        <v>1.2751450000000001E-3</v>
      </c>
      <c r="N68" s="5">
        <v>2.248122E-3</v>
      </c>
      <c r="O68" s="5">
        <v>2.1820810000000002E-3</v>
      </c>
      <c r="P68" s="5">
        <v>2.3616430000000001E-3</v>
      </c>
      <c r="Q68" s="5">
        <v>1.8662030000000001E-3</v>
      </c>
      <c r="R68" s="5">
        <v>3.7301750000000002E-4</v>
      </c>
      <c r="S68" s="5">
        <v>1.9987310000000001E-3</v>
      </c>
    </row>
    <row r="69" spans="1:19" x14ac:dyDescent="0.35">
      <c r="A69" s="3">
        <v>3444.241</v>
      </c>
      <c r="B69" s="5">
        <v>1.287474E-3</v>
      </c>
      <c r="C69" s="5">
        <v>1.718912E-3</v>
      </c>
      <c r="D69" s="5">
        <v>3.4042120000000002E-3</v>
      </c>
      <c r="E69" s="5">
        <v>6.1596769999999995E-4</v>
      </c>
      <c r="F69" s="5">
        <v>1.576193E-3</v>
      </c>
      <c r="G69" s="5">
        <v>5.7147410000000002E-4</v>
      </c>
      <c r="H69" s="5">
        <v>2.4784969999999999E-5</v>
      </c>
      <c r="I69" s="5">
        <v>6.1430199999999999E-3</v>
      </c>
      <c r="J69" s="5">
        <v>2.2743339999999998E-3</v>
      </c>
      <c r="K69" s="5">
        <v>2.987745E-3</v>
      </c>
      <c r="L69" s="5">
        <v>9.274172E-4</v>
      </c>
      <c r="M69" s="5">
        <v>1.269629E-3</v>
      </c>
      <c r="N69" s="5">
        <v>2.25385E-3</v>
      </c>
      <c r="O69" s="5">
        <v>2.1981320000000002E-3</v>
      </c>
      <c r="P69" s="5">
        <v>2.369173E-3</v>
      </c>
      <c r="Q69" s="5">
        <v>1.874489E-3</v>
      </c>
      <c r="R69" s="5">
        <v>3.8568579999999998E-4</v>
      </c>
      <c r="S69" s="5">
        <v>1.9991969999999999E-3</v>
      </c>
    </row>
    <row r="70" spans="1:19" x14ac:dyDescent="0.35">
      <c r="A70" s="3">
        <v>3444.7240000000002</v>
      </c>
      <c r="B70" s="5">
        <v>1.2771060000000001E-3</v>
      </c>
      <c r="C70" s="5">
        <v>1.734148E-3</v>
      </c>
      <c r="D70" s="5">
        <v>3.4105569999999998E-3</v>
      </c>
      <c r="E70" s="5">
        <v>6.1079139999999999E-4</v>
      </c>
      <c r="F70" s="5">
        <v>1.573367E-3</v>
      </c>
      <c r="G70" s="5">
        <v>5.6603299999999997E-4</v>
      </c>
      <c r="H70" s="5">
        <v>1.550701E-5</v>
      </c>
      <c r="I70" s="5">
        <v>6.1457079999999997E-3</v>
      </c>
      <c r="J70" s="5">
        <v>2.2862920000000001E-3</v>
      </c>
      <c r="K70" s="5">
        <v>2.9825400000000001E-3</v>
      </c>
      <c r="L70" s="5">
        <v>9.4744030000000002E-4</v>
      </c>
      <c r="M70" s="5">
        <v>1.2590279999999999E-3</v>
      </c>
      <c r="N70" s="5">
        <v>2.2620769999999999E-3</v>
      </c>
      <c r="O70" s="5">
        <v>2.2118530000000002E-3</v>
      </c>
      <c r="P70" s="5">
        <v>2.3763349999999998E-3</v>
      </c>
      <c r="Q70" s="5">
        <v>1.8883330000000001E-3</v>
      </c>
      <c r="R70" s="5">
        <v>3.9566809999999999E-4</v>
      </c>
      <c r="S70" s="5">
        <v>2.0008949999999999E-3</v>
      </c>
    </row>
    <row r="71" spans="1:19" x14ac:dyDescent="0.35">
      <c r="A71" s="3">
        <v>3445.2060000000001</v>
      </c>
      <c r="B71" s="5">
        <v>1.266704E-3</v>
      </c>
      <c r="C71" s="5">
        <v>1.752146E-3</v>
      </c>
      <c r="D71" s="5">
        <v>3.4175360000000001E-3</v>
      </c>
      <c r="E71" s="5">
        <v>6.0614619999999997E-4</v>
      </c>
      <c r="F71" s="5">
        <v>1.573201E-3</v>
      </c>
      <c r="G71" s="5">
        <v>5.6215129999999999E-4</v>
      </c>
      <c r="H71" s="5">
        <v>5.4340169999999998E-6</v>
      </c>
      <c r="I71" s="5">
        <v>6.1519929999999997E-3</v>
      </c>
      <c r="J71" s="5">
        <v>2.2986830000000001E-3</v>
      </c>
      <c r="K71" s="5">
        <v>2.9763680000000001E-3</v>
      </c>
      <c r="L71" s="5">
        <v>9.6796230000000005E-4</v>
      </c>
      <c r="M71" s="5">
        <v>1.244008E-3</v>
      </c>
      <c r="N71" s="5">
        <v>2.269938E-3</v>
      </c>
      <c r="O71" s="5">
        <v>2.2221440000000001E-3</v>
      </c>
      <c r="P71" s="5">
        <v>2.3813660000000002E-3</v>
      </c>
      <c r="Q71" s="5">
        <v>1.9059039999999999E-3</v>
      </c>
      <c r="R71" s="5">
        <v>4.0186980000000001E-4</v>
      </c>
      <c r="S71" s="5">
        <v>2.0025260000000001E-3</v>
      </c>
    </row>
    <row r="72" spans="1:19" x14ac:dyDescent="0.35">
      <c r="A72" s="3">
        <v>3445.6880000000001</v>
      </c>
      <c r="B72" s="5">
        <v>1.2573669999999999E-3</v>
      </c>
      <c r="C72" s="5">
        <v>1.769978E-3</v>
      </c>
      <c r="D72" s="5">
        <v>3.4226130000000001E-3</v>
      </c>
      <c r="E72" s="5">
        <v>6.0272859999999995E-4</v>
      </c>
      <c r="F72" s="5">
        <v>1.575229E-3</v>
      </c>
      <c r="G72" s="5">
        <v>5.6085740000000003E-4</v>
      </c>
      <c r="H72" s="5">
        <v>-4.6387409999999998E-6</v>
      </c>
      <c r="I72" s="5">
        <v>6.1591170000000004E-3</v>
      </c>
      <c r="J72" s="5">
        <v>2.3092759999999999E-3</v>
      </c>
      <c r="K72" s="5">
        <v>2.970196E-3</v>
      </c>
      <c r="L72" s="5">
        <v>9.8533039999999989E-4</v>
      </c>
      <c r="M72" s="5">
        <v>1.2269290000000001E-3</v>
      </c>
      <c r="N72" s="5">
        <v>2.2746670000000002E-3</v>
      </c>
      <c r="O72" s="5">
        <v>2.2283049999999999E-3</v>
      </c>
      <c r="P72" s="5">
        <v>2.383132E-3</v>
      </c>
      <c r="Q72" s="5">
        <v>1.9240749999999999E-3</v>
      </c>
      <c r="R72" s="5">
        <v>4.0376019999999998E-4</v>
      </c>
      <c r="S72" s="5">
        <v>2.0033249999999998E-3</v>
      </c>
    </row>
    <row r="73" spans="1:19" x14ac:dyDescent="0.35">
      <c r="A73" s="3">
        <v>3446.17</v>
      </c>
      <c r="B73" s="5">
        <v>1.251219E-3</v>
      </c>
      <c r="C73" s="5">
        <v>1.783319E-3</v>
      </c>
      <c r="D73" s="5">
        <v>3.4230129999999999E-3</v>
      </c>
      <c r="E73" s="5">
        <v>6.0057190000000003E-4</v>
      </c>
      <c r="F73" s="5">
        <v>1.578255E-3</v>
      </c>
      <c r="G73" s="5">
        <v>5.6235040000000001E-4</v>
      </c>
      <c r="H73" s="5">
        <v>-1.3485340000000001E-5</v>
      </c>
      <c r="I73" s="5">
        <v>6.1637549999999999E-3</v>
      </c>
      <c r="J73" s="5">
        <v>2.3170040000000001E-3</v>
      </c>
      <c r="K73" s="5">
        <v>2.9643579999999998E-3</v>
      </c>
      <c r="L73" s="5">
        <v>9.9539289999999998E-4</v>
      </c>
      <c r="M73" s="5">
        <v>1.2110129999999999E-3</v>
      </c>
      <c r="N73" s="5">
        <v>2.2746340000000002E-3</v>
      </c>
      <c r="O73" s="5">
        <v>2.2294709999999998E-3</v>
      </c>
      <c r="P73" s="5">
        <v>2.3812E-3</v>
      </c>
      <c r="Q73" s="5">
        <v>1.938586E-3</v>
      </c>
      <c r="R73" s="5">
        <v>4.0137240000000002E-4</v>
      </c>
      <c r="S73" s="5">
        <v>2.0036580000000002E-3</v>
      </c>
    </row>
    <row r="74" spans="1:19" x14ac:dyDescent="0.35">
      <c r="A74" s="3">
        <v>3446.652</v>
      </c>
      <c r="B74" s="5">
        <v>1.249989E-3</v>
      </c>
      <c r="C74" s="5">
        <v>1.787943E-3</v>
      </c>
      <c r="D74" s="5">
        <v>3.4167680000000001E-3</v>
      </c>
      <c r="E74" s="5">
        <v>5.9947699999999995E-4</v>
      </c>
      <c r="F74" s="5">
        <v>1.580716E-3</v>
      </c>
      <c r="G74" s="5">
        <v>5.6563489999999995E-4</v>
      </c>
      <c r="H74" s="5">
        <v>-1.8654059999999999E-5</v>
      </c>
      <c r="I74" s="5">
        <v>6.1639570000000003E-3</v>
      </c>
      <c r="J74" s="5">
        <v>2.3219009999999999E-3</v>
      </c>
      <c r="K74" s="5">
        <v>2.9591869999999998E-3</v>
      </c>
      <c r="L74" s="5">
        <v>9.9462909999999995E-4</v>
      </c>
      <c r="M74" s="5">
        <v>1.1993170000000001E-3</v>
      </c>
      <c r="N74" s="5">
        <v>2.2694709999999999E-3</v>
      </c>
      <c r="O74" s="5">
        <v>2.2255740000000001E-3</v>
      </c>
      <c r="P74" s="5">
        <v>2.3759359999999999E-3</v>
      </c>
      <c r="Q74" s="5">
        <v>1.945975E-3</v>
      </c>
      <c r="R74" s="5">
        <v>3.9520380000000001E-4</v>
      </c>
      <c r="S74" s="5">
        <v>2.004956E-3</v>
      </c>
    </row>
    <row r="75" spans="1:19" x14ac:dyDescent="0.35">
      <c r="A75" s="3">
        <v>3447.134</v>
      </c>
      <c r="B75" s="5">
        <v>1.254575E-3</v>
      </c>
      <c r="C75" s="5">
        <v>1.7812889999999999E-3</v>
      </c>
      <c r="D75" s="5">
        <v>3.4039780000000002E-3</v>
      </c>
      <c r="E75" s="5">
        <v>5.9874709999999999E-4</v>
      </c>
      <c r="F75" s="5">
        <v>1.580749E-3</v>
      </c>
      <c r="G75" s="5">
        <v>5.6928440000000001E-4</v>
      </c>
      <c r="H75" s="5">
        <v>-1.8190210000000001E-5</v>
      </c>
      <c r="I75" s="5">
        <v>6.1593530000000002E-3</v>
      </c>
      <c r="J75" s="5">
        <v>2.3248320000000002E-3</v>
      </c>
      <c r="K75" s="5">
        <v>2.9549839999999999E-3</v>
      </c>
      <c r="L75" s="5">
        <v>9.8161100000000007E-4</v>
      </c>
      <c r="M75" s="5">
        <v>1.194068E-3</v>
      </c>
      <c r="N75" s="5">
        <v>2.2602120000000002E-3</v>
      </c>
      <c r="O75" s="5">
        <v>2.2168489999999999E-3</v>
      </c>
      <c r="P75" s="5">
        <v>2.3683060000000001E-3</v>
      </c>
      <c r="Q75" s="5">
        <v>1.9441110000000001E-3</v>
      </c>
      <c r="R75" s="5">
        <v>3.8581839999999999E-4</v>
      </c>
      <c r="S75" s="5">
        <v>2.0088509999999999E-3</v>
      </c>
    </row>
    <row r="76" spans="1:19" x14ac:dyDescent="0.35">
      <c r="A76" s="3">
        <v>3447.616</v>
      </c>
      <c r="B76" s="5">
        <v>1.264013E-3</v>
      </c>
      <c r="C76" s="5">
        <v>1.7639890000000001E-3</v>
      </c>
      <c r="D76" s="5">
        <v>3.3866130000000001E-3</v>
      </c>
      <c r="E76" s="5">
        <v>5.9775159999999998E-4</v>
      </c>
      <c r="F76" s="5">
        <v>1.577557E-3</v>
      </c>
      <c r="G76" s="5">
        <v>5.7164E-4</v>
      </c>
      <c r="H76" s="5">
        <v>-1.0801560000000001E-5</v>
      </c>
      <c r="I76" s="5">
        <v>6.151892E-3</v>
      </c>
      <c r="J76" s="5">
        <v>2.3267309999999999E-3</v>
      </c>
      <c r="K76" s="5">
        <v>2.9514139999999999E-3</v>
      </c>
      <c r="L76" s="5">
        <v>9.5766790000000003E-4</v>
      </c>
      <c r="M76" s="5">
        <v>1.195928E-3</v>
      </c>
      <c r="N76" s="5">
        <v>2.2493539999999999E-3</v>
      </c>
      <c r="O76" s="5">
        <v>2.2040269999999999E-3</v>
      </c>
      <c r="P76" s="5">
        <v>2.3600439999999999E-3</v>
      </c>
      <c r="Q76" s="5">
        <v>1.9331610000000001E-3</v>
      </c>
      <c r="R76" s="5">
        <v>3.7424449999999998E-4</v>
      </c>
      <c r="S76" s="5">
        <v>2.0161739999999999E-3</v>
      </c>
    </row>
    <row r="77" spans="1:19" x14ac:dyDescent="0.35">
      <c r="A77" s="3">
        <v>3448.098</v>
      </c>
      <c r="B77" s="5">
        <v>1.2762749999999999E-3</v>
      </c>
      <c r="C77" s="5">
        <v>1.73957E-3</v>
      </c>
      <c r="D77" s="5">
        <v>3.3681129999999998E-3</v>
      </c>
      <c r="E77" s="5">
        <v>5.9655720000000001E-4</v>
      </c>
      <c r="F77" s="5">
        <v>1.570973E-3</v>
      </c>
      <c r="G77" s="5">
        <v>5.7134139999999998E-4</v>
      </c>
      <c r="H77" s="5">
        <v>3.0152080000000002E-6</v>
      </c>
      <c r="I77" s="5">
        <v>6.1443640000000002E-3</v>
      </c>
      <c r="J77" s="5">
        <v>2.328063E-3</v>
      </c>
      <c r="K77" s="5">
        <v>2.9485119999999999E-3</v>
      </c>
      <c r="L77" s="5">
        <v>9.2731770000000001E-4</v>
      </c>
      <c r="M77" s="5">
        <v>1.2041020000000001E-3</v>
      </c>
      <c r="N77" s="5">
        <v>2.239296E-3</v>
      </c>
      <c r="O77" s="5">
        <v>2.188541E-3</v>
      </c>
      <c r="P77" s="5">
        <v>2.352748E-3</v>
      </c>
      <c r="Q77" s="5">
        <v>1.9159209999999999E-3</v>
      </c>
      <c r="R77" s="5">
        <v>3.6137760000000001E-4</v>
      </c>
      <c r="S77" s="5">
        <v>2.0265600000000002E-3</v>
      </c>
    </row>
    <row r="78" spans="1:19" x14ac:dyDescent="0.35">
      <c r="A78" s="3">
        <v>3448.5810000000001</v>
      </c>
      <c r="B78" s="5">
        <v>1.288471E-3</v>
      </c>
      <c r="C78" s="5">
        <v>1.713457E-3</v>
      </c>
      <c r="D78" s="5">
        <v>3.3520189999999999E-3</v>
      </c>
      <c r="E78" s="5">
        <v>5.9532949999999997E-4</v>
      </c>
      <c r="F78" s="5">
        <v>1.5619609999999999E-3</v>
      </c>
      <c r="G78" s="5">
        <v>5.6769190000000003E-4</v>
      </c>
      <c r="H78" s="5">
        <v>2.070927E-5</v>
      </c>
      <c r="I78" s="5">
        <v>6.1394910000000004E-3</v>
      </c>
      <c r="J78" s="5">
        <v>2.3285960000000001E-3</v>
      </c>
      <c r="K78" s="5">
        <v>2.9459769999999998E-3</v>
      </c>
      <c r="L78" s="5">
        <v>8.9584059999999995E-4</v>
      </c>
      <c r="M78" s="5">
        <v>1.216894E-3</v>
      </c>
      <c r="N78" s="5">
        <v>2.231935E-3</v>
      </c>
      <c r="O78" s="5">
        <v>2.1720580000000001E-3</v>
      </c>
      <c r="P78" s="5">
        <v>2.3480179999999999E-3</v>
      </c>
      <c r="Q78" s="5">
        <v>1.8960870000000001E-3</v>
      </c>
      <c r="R78" s="5">
        <v>3.4791420000000002E-4</v>
      </c>
      <c r="S78" s="5">
        <v>2.0379450000000002E-3</v>
      </c>
    </row>
    <row r="79" spans="1:19" x14ac:dyDescent="0.35">
      <c r="A79" s="3">
        <v>3449.0630000000001</v>
      </c>
      <c r="B79" s="5">
        <v>1.2977100000000001E-3</v>
      </c>
      <c r="C79" s="5">
        <v>1.6913690000000001E-3</v>
      </c>
      <c r="D79" s="5">
        <v>3.3408999999999999E-3</v>
      </c>
      <c r="E79" s="5">
        <v>5.9456639999999996E-4</v>
      </c>
      <c r="F79" s="5">
        <v>1.5518190000000001E-3</v>
      </c>
      <c r="G79" s="5">
        <v>5.6049249999999995E-4</v>
      </c>
      <c r="H79" s="5">
        <v>3.8735420000000003E-5</v>
      </c>
      <c r="I79" s="5">
        <v>6.1388859999999996E-3</v>
      </c>
      <c r="J79" s="5">
        <v>2.3273310000000002E-3</v>
      </c>
      <c r="K79" s="5">
        <v>2.9433409999999999E-3</v>
      </c>
      <c r="L79" s="5">
        <v>8.6848260000000005E-4</v>
      </c>
      <c r="M79" s="5">
        <v>1.2323779999999999E-3</v>
      </c>
      <c r="N79" s="5">
        <v>2.2284710000000001E-3</v>
      </c>
      <c r="O79" s="5">
        <v>2.1562729999999998E-3</v>
      </c>
      <c r="P79" s="5">
        <v>2.3464850000000002E-3</v>
      </c>
      <c r="Q79" s="5">
        <v>1.877351E-3</v>
      </c>
      <c r="R79" s="5">
        <v>3.3411960000000001E-4</v>
      </c>
      <c r="S79" s="5">
        <v>2.0474989999999999E-3</v>
      </c>
    </row>
    <row r="80" spans="1:19" x14ac:dyDescent="0.35">
      <c r="A80" s="3">
        <v>3449.5450000000001</v>
      </c>
      <c r="B80" s="5">
        <v>1.302894E-3</v>
      </c>
      <c r="C80" s="5">
        <v>1.677366E-3</v>
      </c>
      <c r="D80" s="5">
        <v>3.335424E-3</v>
      </c>
      <c r="E80" s="5">
        <v>5.9463280000000005E-4</v>
      </c>
      <c r="F80" s="5">
        <v>1.542142E-3</v>
      </c>
      <c r="G80" s="5">
        <v>5.5034050000000003E-4</v>
      </c>
      <c r="H80" s="5">
        <v>5.3017699999999999E-5</v>
      </c>
      <c r="I80" s="5">
        <v>6.1427169999999998E-3</v>
      </c>
      <c r="J80" s="5">
        <v>2.3237000000000002E-3</v>
      </c>
      <c r="K80" s="5">
        <v>2.9397049999999999E-3</v>
      </c>
      <c r="L80" s="5">
        <v>8.488616E-4</v>
      </c>
      <c r="M80" s="5">
        <v>1.2490260000000001E-3</v>
      </c>
      <c r="N80" s="5">
        <v>2.229104E-3</v>
      </c>
      <c r="O80" s="5">
        <v>2.142854E-3</v>
      </c>
      <c r="P80" s="5">
        <v>2.3483179999999998E-3</v>
      </c>
      <c r="Q80" s="5">
        <v>1.8625759999999999E-3</v>
      </c>
      <c r="R80" s="5">
        <v>3.205576E-4</v>
      </c>
      <c r="S80" s="5">
        <v>2.0526590000000001E-3</v>
      </c>
    </row>
    <row r="81" spans="1:19" x14ac:dyDescent="0.35">
      <c r="A81" s="3">
        <v>3450.027</v>
      </c>
      <c r="B81" s="5">
        <v>1.304057E-3</v>
      </c>
      <c r="C81" s="5">
        <v>1.6728750000000001E-3</v>
      </c>
      <c r="D81" s="5">
        <v>3.3344220000000001E-3</v>
      </c>
      <c r="E81" s="5">
        <v>5.9479870000000003E-4</v>
      </c>
      <c r="F81" s="5">
        <v>1.534262E-3</v>
      </c>
      <c r="G81" s="5">
        <v>5.3862949999999995E-4</v>
      </c>
      <c r="H81" s="5">
        <v>6.0738939999999998E-5</v>
      </c>
      <c r="I81" s="5">
        <v>6.1497740000000002E-3</v>
      </c>
      <c r="J81" s="5">
        <v>2.3172039999999998E-3</v>
      </c>
      <c r="K81" s="5">
        <v>2.9348339999999999E-3</v>
      </c>
      <c r="L81" s="5">
        <v>8.3830449999999996E-4</v>
      </c>
      <c r="M81" s="5">
        <v>1.2656410000000001E-3</v>
      </c>
      <c r="N81" s="5">
        <v>2.2329339999999998E-3</v>
      </c>
      <c r="O81" s="5">
        <v>2.1332980000000001E-3</v>
      </c>
      <c r="P81" s="5">
        <v>2.3527819999999999E-3</v>
      </c>
      <c r="Q81" s="5">
        <v>1.853359E-3</v>
      </c>
      <c r="R81" s="5">
        <v>3.0749329999999999E-4</v>
      </c>
      <c r="S81" s="5">
        <v>2.0522269999999998E-3</v>
      </c>
    </row>
    <row r="82" spans="1:19" x14ac:dyDescent="0.35">
      <c r="A82" s="3">
        <v>3450.509</v>
      </c>
      <c r="B82" s="5">
        <v>1.3030940000000001E-3</v>
      </c>
      <c r="C82" s="5">
        <v>1.6768670000000001E-3</v>
      </c>
      <c r="D82" s="5">
        <v>3.3361250000000001E-3</v>
      </c>
      <c r="E82" s="5">
        <v>5.9446689999999996E-4</v>
      </c>
      <c r="F82" s="5">
        <v>1.529374E-3</v>
      </c>
      <c r="G82" s="5">
        <v>5.2715100000000001E-4</v>
      </c>
      <c r="H82" s="5">
        <v>6.0871490000000001E-5</v>
      </c>
      <c r="I82" s="5">
        <v>6.1587810000000003E-3</v>
      </c>
      <c r="J82" s="5">
        <v>2.3081769999999998E-3</v>
      </c>
      <c r="K82" s="5">
        <v>2.928763E-3</v>
      </c>
      <c r="L82" s="5">
        <v>8.3617990000000003E-4</v>
      </c>
      <c r="M82" s="5">
        <v>1.2809939999999999E-3</v>
      </c>
      <c r="N82" s="5">
        <v>2.2391289999999999E-3</v>
      </c>
      <c r="O82" s="5">
        <v>2.1283029999999998E-3</v>
      </c>
      <c r="P82" s="5">
        <v>2.3587119999999998E-3</v>
      </c>
      <c r="Q82" s="5">
        <v>1.849765E-3</v>
      </c>
      <c r="R82" s="5">
        <v>2.958883E-4</v>
      </c>
      <c r="S82" s="5">
        <v>2.0463339999999999E-3</v>
      </c>
    </row>
    <row r="83" spans="1:19" x14ac:dyDescent="0.35">
      <c r="A83" s="3">
        <v>3450.991</v>
      </c>
      <c r="B83" s="5">
        <v>1.3025619999999999E-3</v>
      </c>
      <c r="C83" s="5">
        <v>1.6862800000000001E-3</v>
      </c>
      <c r="D83" s="5">
        <v>3.3385620000000002E-3</v>
      </c>
      <c r="E83" s="5">
        <v>5.9280789999999997E-4</v>
      </c>
      <c r="F83" s="5">
        <v>1.52831E-3</v>
      </c>
      <c r="G83" s="5">
        <v>5.1789550000000005E-4</v>
      </c>
      <c r="H83" s="5">
        <v>5.4575189999999998E-5</v>
      </c>
      <c r="I83" s="5">
        <v>6.1684940000000001E-3</v>
      </c>
      <c r="J83" s="5">
        <v>2.2975510000000001E-3</v>
      </c>
      <c r="K83" s="5">
        <v>2.9221920000000001E-3</v>
      </c>
      <c r="L83" s="5">
        <v>8.4026320000000002E-4</v>
      </c>
      <c r="M83" s="5">
        <v>1.2944199999999999E-3</v>
      </c>
      <c r="N83" s="5">
        <v>2.24669E-3</v>
      </c>
      <c r="O83" s="5">
        <v>2.1279039999999999E-3</v>
      </c>
      <c r="P83" s="5">
        <v>2.3648749999999998E-3</v>
      </c>
      <c r="Q83" s="5">
        <v>1.850663E-3</v>
      </c>
      <c r="R83" s="5">
        <v>2.8627299999999997E-4</v>
      </c>
      <c r="S83" s="5">
        <v>2.037213E-3</v>
      </c>
    </row>
    <row r="84" spans="1:19" x14ac:dyDescent="0.35">
      <c r="A84" s="3">
        <v>3451.473</v>
      </c>
      <c r="B84" s="5">
        <v>1.305287E-3</v>
      </c>
      <c r="C84" s="5">
        <v>1.697456E-3</v>
      </c>
      <c r="D84" s="5">
        <v>3.3407659999999998E-3</v>
      </c>
      <c r="E84" s="5">
        <v>5.8942360000000004E-4</v>
      </c>
      <c r="F84" s="5">
        <v>1.5318339999999999E-3</v>
      </c>
      <c r="G84" s="5">
        <v>5.12621E-4</v>
      </c>
      <c r="H84" s="5">
        <v>4.5031489999999997E-5</v>
      </c>
      <c r="I84" s="5">
        <v>6.1781730000000003E-3</v>
      </c>
      <c r="J84" s="5">
        <v>2.2871580000000001E-3</v>
      </c>
      <c r="K84" s="5">
        <v>2.9162540000000001E-3</v>
      </c>
      <c r="L84" s="5">
        <v>8.4793209999999995E-4</v>
      </c>
      <c r="M84" s="5">
        <v>1.3046889999999999E-3</v>
      </c>
      <c r="N84" s="5">
        <v>2.2546829999999999E-3</v>
      </c>
      <c r="O84" s="5">
        <v>2.1310999999999999E-3</v>
      </c>
      <c r="P84" s="5">
        <v>2.3699720000000001E-3</v>
      </c>
      <c r="Q84" s="5">
        <v>1.8544569999999999E-3</v>
      </c>
      <c r="R84" s="5">
        <v>2.795424E-4</v>
      </c>
      <c r="S84" s="5">
        <v>2.0273259999999999E-3</v>
      </c>
    </row>
    <row r="85" spans="1:19" x14ac:dyDescent="0.35">
      <c r="A85" s="3">
        <v>3451.9549999999999</v>
      </c>
      <c r="B85" s="5">
        <v>1.3130640000000001E-3</v>
      </c>
      <c r="C85" s="5">
        <v>1.707236E-3</v>
      </c>
      <c r="D85" s="5">
        <v>3.3427700000000001E-3</v>
      </c>
      <c r="E85" s="5">
        <v>5.8527630000000002E-4</v>
      </c>
      <c r="F85" s="5">
        <v>1.540446E-3</v>
      </c>
      <c r="G85" s="5">
        <v>5.1209020000000005E-4</v>
      </c>
      <c r="H85" s="5">
        <v>3.5554279999999998E-5</v>
      </c>
      <c r="I85" s="5">
        <v>6.1876170000000003E-3</v>
      </c>
      <c r="J85" s="5">
        <v>2.278431E-3</v>
      </c>
      <c r="K85" s="5">
        <v>2.9125850000000001E-3</v>
      </c>
      <c r="L85" s="5">
        <v>8.5646430000000003E-4</v>
      </c>
      <c r="M85" s="5">
        <v>1.311003E-3</v>
      </c>
      <c r="N85" s="5">
        <v>2.2627429999999998E-3</v>
      </c>
      <c r="O85" s="5">
        <v>2.1364940000000001E-3</v>
      </c>
      <c r="P85" s="5">
        <v>2.3733040000000001E-3</v>
      </c>
      <c r="Q85" s="5">
        <v>1.8590150000000001E-3</v>
      </c>
      <c r="R85" s="5">
        <v>2.7626009999999999E-4</v>
      </c>
      <c r="S85" s="5">
        <v>2.0189700000000001E-3</v>
      </c>
    </row>
    <row r="86" spans="1:19" x14ac:dyDescent="0.35">
      <c r="A86" s="3">
        <v>3452.4380000000001</v>
      </c>
      <c r="B86" s="5">
        <v>1.325992E-3</v>
      </c>
      <c r="C86" s="5">
        <v>1.713989E-3</v>
      </c>
      <c r="D86" s="5">
        <v>3.3458419999999999E-3</v>
      </c>
      <c r="E86" s="5">
        <v>5.8192520000000002E-4</v>
      </c>
      <c r="F86" s="5">
        <v>1.5540129999999999E-3</v>
      </c>
      <c r="G86" s="5">
        <v>5.1643589999999997E-4</v>
      </c>
      <c r="H86" s="5">
        <v>2.9059530000000001E-5</v>
      </c>
      <c r="I86" s="5">
        <v>6.1964899999999998E-3</v>
      </c>
      <c r="J86" s="5">
        <v>2.273069E-3</v>
      </c>
      <c r="K86" s="5">
        <v>2.912085E-3</v>
      </c>
      <c r="L86" s="5">
        <v>8.642662E-4</v>
      </c>
      <c r="M86" s="5">
        <v>1.3132630000000001E-3</v>
      </c>
      <c r="N86" s="5">
        <v>2.2704040000000002E-3</v>
      </c>
      <c r="O86" s="5">
        <v>2.1421550000000002E-3</v>
      </c>
      <c r="P86" s="5">
        <v>2.3744360000000002E-3</v>
      </c>
      <c r="Q86" s="5">
        <v>1.8621099999999999E-3</v>
      </c>
      <c r="R86" s="5">
        <v>2.7606110000000001E-4</v>
      </c>
      <c r="S86" s="5">
        <v>2.0134110000000001E-3</v>
      </c>
    </row>
    <row r="87" spans="1:19" x14ac:dyDescent="0.35">
      <c r="A87" s="3">
        <v>3452.92</v>
      </c>
      <c r="B87" s="5">
        <v>1.342776E-3</v>
      </c>
      <c r="C87" s="5">
        <v>1.7171160000000001E-3</v>
      </c>
      <c r="D87" s="5">
        <v>3.3511169999999998E-3</v>
      </c>
      <c r="E87" s="5">
        <v>5.8132799999999999E-4</v>
      </c>
      <c r="F87" s="5">
        <v>1.57197E-3</v>
      </c>
      <c r="G87" s="5">
        <v>5.2459659999999999E-4</v>
      </c>
      <c r="H87" s="5">
        <v>2.6971949999999998E-5</v>
      </c>
      <c r="I87" s="5">
        <v>6.2041529999999996E-3</v>
      </c>
      <c r="J87" s="5">
        <v>2.2718030000000002E-3</v>
      </c>
      <c r="K87" s="5">
        <v>2.915253E-3</v>
      </c>
      <c r="L87" s="5">
        <v>8.7000979999999999E-4</v>
      </c>
      <c r="M87" s="5">
        <v>1.3116009999999999E-3</v>
      </c>
      <c r="N87" s="5">
        <v>2.2774990000000001E-3</v>
      </c>
      <c r="O87" s="5">
        <v>2.1466499999999999E-3</v>
      </c>
      <c r="P87" s="5">
        <v>2.3737369999999999E-3</v>
      </c>
      <c r="Q87" s="5">
        <v>1.8622770000000001E-3</v>
      </c>
      <c r="R87" s="5">
        <v>2.7838199999999998E-4</v>
      </c>
      <c r="S87" s="5">
        <v>2.0104480000000002E-3</v>
      </c>
    </row>
    <row r="88" spans="1:19" x14ac:dyDescent="0.35">
      <c r="A88" s="3">
        <v>3453.402</v>
      </c>
      <c r="B88" s="5">
        <v>1.3605920000000001E-3</v>
      </c>
      <c r="C88" s="5">
        <v>1.7178479999999999E-3</v>
      </c>
      <c r="D88" s="5">
        <v>3.359398E-3</v>
      </c>
      <c r="E88" s="5">
        <v>5.8520990000000004E-4</v>
      </c>
      <c r="F88" s="5">
        <v>1.592588E-3</v>
      </c>
      <c r="G88" s="5">
        <v>5.3464850000000004E-4</v>
      </c>
      <c r="H88" s="5">
        <v>2.9158929999999998E-5</v>
      </c>
      <c r="I88" s="5">
        <v>6.2091619999999998E-3</v>
      </c>
      <c r="J88" s="5">
        <v>2.2748669999999999E-3</v>
      </c>
      <c r="K88" s="5">
        <v>2.9216580000000002E-3</v>
      </c>
      <c r="L88" s="5">
        <v>8.7323030000000001E-4</v>
      </c>
      <c r="M88" s="5">
        <v>1.306949E-3</v>
      </c>
      <c r="N88" s="5">
        <v>2.2834610000000001E-3</v>
      </c>
      <c r="O88" s="5">
        <v>2.1489809999999999E-3</v>
      </c>
      <c r="P88" s="5">
        <v>2.3718379999999998E-3</v>
      </c>
      <c r="Q88" s="5">
        <v>1.85855E-3</v>
      </c>
      <c r="R88" s="5">
        <v>2.8196280000000002E-4</v>
      </c>
      <c r="S88" s="5">
        <v>2.0091169999999999E-3</v>
      </c>
    </row>
    <row r="89" spans="1:19" x14ac:dyDescent="0.35">
      <c r="A89" s="3">
        <v>3453.884</v>
      </c>
      <c r="B89" s="5">
        <v>1.3766130000000001E-3</v>
      </c>
      <c r="C89" s="5">
        <v>1.7171160000000001E-3</v>
      </c>
      <c r="D89" s="5">
        <v>3.370418E-3</v>
      </c>
      <c r="E89" s="5">
        <v>5.9416829999999995E-4</v>
      </c>
      <c r="F89" s="5">
        <v>1.613207E-3</v>
      </c>
      <c r="G89" s="5">
        <v>5.4436879999999999E-4</v>
      </c>
      <c r="H89" s="5">
        <v>3.4261950000000002E-5</v>
      </c>
      <c r="I89" s="5">
        <v>6.2101029999999998E-3</v>
      </c>
      <c r="J89" s="5">
        <v>2.281496E-3</v>
      </c>
      <c r="K89" s="5">
        <v>2.9299310000000002E-3</v>
      </c>
      <c r="L89" s="5">
        <v>8.7359549999999997E-4</v>
      </c>
      <c r="M89" s="5">
        <v>1.3008340000000001E-3</v>
      </c>
      <c r="N89" s="5">
        <v>2.2880909999999999E-3</v>
      </c>
      <c r="O89" s="5">
        <v>2.1491140000000001E-3</v>
      </c>
      <c r="P89" s="5">
        <v>2.3696059999999998E-3</v>
      </c>
      <c r="Q89" s="5">
        <v>1.8508960000000001E-3</v>
      </c>
      <c r="R89" s="5">
        <v>2.8554360000000002E-4</v>
      </c>
      <c r="S89" s="5">
        <v>2.0083850000000001E-3</v>
      </c>
    </row>
    <row r="90" spans="1:19" x14ac:dyDescent="0.35">
      <c r="A90" s="3">
        <v>3454.366</v>
      </c>
      <c r="B90" s="5">
        <v>1.388313E-3</v>
      </c>
      <c r="C90" s="5">
        <v>1.715685E-3</v>
      </c>
      <c r="D90" s="5">
        <v>3.3823719999999998E-3</v>
      </c>
      <c r="E90" s="5">
        <v>6.074734E-4</v>
      </c>
      <c r="F90" s="5">
        <v>1.6310669999999999E-3</v>
      </c>
      <c r="G90" s="5">
        <v>5.5186660000000002E-4</v>
      </c>
      <c r="H90" s="5">
        <v>4.0889329999999997E-5</v>
      </c>
      <c r="I90" s="5">
        <v>6.2059350000000001E-3</v>
      </c>
      <c r="J90" s="5">
        <v>2.290023E-3</v>
      </c>
      <c r="K90" s="5">
        <v>2.9386379999999999E-3</v>
      </c>
      <c r="L90" s="5">
        <v>8.7074030000000005E-4</v>
      </c>
      <c r="M90" s="5">
        <v>1.2945859999999999E-3</v>
      </c>
      <c r="N90" s="5">
        <v>2.2909219999999999E-3</v>
      </c>
      <c r="O90" s="5">
        <v>2.1478819999999998E-3</v>
      </c>
      <c r="P90" s="5">
        <v>2.3679069999999998E-3</v>
      </c>
      <c r="Q90" s="5">
        <v>1.840448E-3</v>
      </c>
      <c r="R90" s="5">
        <v>2.8776509999999997E-4</v>
      </c>
      <c r="S90" s="5">
        <v>2.0074189999999999E-3</v>
      </c>
    </row>
    <row r="91" spans="1:19" x14ac:dyDescent="0.35">
      <c r="A91" s="3">
        <v>3454.848</v>
      </c>
      <c r="B91" s="5">
        <v>1.394462E-3</v>
      </c>
      <c r="C91" s="5">
        <v>1.713689E-3</v>
      </c>
      <c r="D91" s="5">
        <v>3.3929910000000001E-3</v>
      </c>
      <c r="E91" s="5">
        <v>6.2310169999999995E-4</v>
      </c>
      <c r="F91" s="5">
        <v>1.6433730000000001E-3</v>
      </c>
      <c r="G91" s="5">
        <v>5.5584769999999996E-4</v>
      </c>
      <c r="H91" s="5">
        <v>4.7715639999999997E-5</v>
      </c>
      <c r="I91" s="5">
        <v>6.1968259999999999E-3</v>
      </c>
      <c r="J91" s="5">
        <v>2.2984170000000001E-3</v>
      </c>
      <c r="K91" s="5">
        <v>2.946377E-3</v>
      </c>
      <c r="L91" s="5">
        <v>8.6476420000000003E-4</v>
      </c>
      <c r="M91" s="5">
        <v>1.289634E-3</v>
      </c>
      <c r="N91" s="5">
        <v>2.2913880000000001E-3</v>
      </c>
      <c r="O91" s="5">
        <v>2.1461840000000002E-3</v>
      </c>
      <c r="P91" s="5">
        <v>2.3673740000000002E-3</v>
      </c>
      <c r="Q91" s="5">
        <v>1.828802E-3</v>
      </c>
      <c r="R91" s="5">
        <v>2.8776509999999997E-4</v>
      </c>
      <c r="S91" s="5">
        <v>2.0066540000000001E-3</v>
      </c>
    </row>
    <row r="92" spans="1:19" x14ac:dyDescent="0.35">
      <c r="A92" s="3">
        <v>3455.33</v>
      </c>
      <c r="B92" s="5">
        <v>1.395028E-3</v>
      </c>
      <c r="C92" s="5">
        <v>1.710729E-3</v>
      </c>
      <c r="D92" s="5">
        <v>3.4003039999999998E-3</v>
      </c>
      <c r="E92" s="5">
        <v>6.3836549999999996E-4</v>
      </c>
      <c r="F92" s="5">
        <v>1.648694E-3</v>
      </c>
      <c r="G92" s="5">
        <v>5.5591410000000005E-4</v>
      </c>
      <c r="H92" s="5">
        <v>5.4674610000000001E-5</v>
      </c>
      <c r="I92" s="5">
        <v>6.1841559999999997E-3</v>
      </c>
      <c r="J92" s="5">
        <v>2.3042459999999998E-3</v>
      </c>
      <c r="K92" s="5">
        <v>2.9523150000000001E-3</v>
      </c>
      <c r="L92" s="5">
        <v>8.5586660000000004E-4</v>
      </c>
      <c r="M92" s="5">
        <v>1.2864440000000001E-3</v>
      </c>
      <c r="N92" s="5">
        <v>2.2893900000000001E-3</v>
      </c>
      <c r="O92" s="5">
        <v>2.144619E-3</v>
      </c>
      <c r="P92" s="5">
        <v>2.3683060000000001E-3</v>
      </c>
      <c r="Q92" s="5">
        <v>1.8182540000000001E-3</v>
      </c>
      <c r="R92" s="5">
        <v>2.8511260000000001E-4</v>
      </c>
      <c r="S92" s="5">
        <v>2.0069200000000001E-3</v>
      </c>
    </row>
    <row r="93" spans="1:19" x14ac:dyDescent="0.35">
      <c r="A93" s="3">
        <v>3455.8119999999999</v>
      </c>
      <c r="B93" s="5">
        <v>1.3910389999999999E-3</v>
      </c>
      <c r="C93" s="5">
        <v>1.7062049999999999E-3</v>
      </c>
      <c r="D93" s="5">
        <v>3.4030430000000001E-3</v>
      </c>
      <c r="E93" s="5">
        <v>6.5094190000000002E-4</v>
      </c>
      <c r="F93" s="5">
        <v>1.6472310000000001E-3</v>
      </c>
      <c r="G93" s="5">
        <v>5.5266280000000004E-4</v>
      </c>
      <c r="H93" s="5">
        <v>6.1865659999999997E-5</v>
      </c>
      <c r="I93" s="5">
        <v>6.1706110000000003E-3</v>
      </c>
      <c r="J93" s="5">
        <v>2.305578E-3</v>
      </c>
      <c r="K93" s="5">
        <v>2.9564180000000002E-3</v>
      </c>
      <c r="L93" s="5">
        <v>8.4484459999999996E-4</v>
      </c>
      <c r="M93" s="5">
        <v>1.285181E-3</v>
      </c>
      <c r="N93" s="5">
        <v>2.2849929999999999E-3</v>
      </c>
      <c r="O93" s="5">
        <v>2.143187E-3</v>
      </c>
      <c r="P93" s="5">
        <v>2.3699720000000001E-3</v>
      </c>
      <c r="Q93" s="5">
        <v>1.811167E-3</v>
      </c>
      <c r="R93" s="5">
        <v>2.7984080000000001E-4</v>
      </c>
      <c r="S93" s="5">
        <v>2.0088839999999998E-3</v>
      </c>
    </row>
    <row r="94" spans="1:19" x14ac:dyDescent="0.35">
      <c r="A94" s="3">
        <v>3456.2939999999999</v>
      </c>
      <c r="B94" s="5">
        <v>1.383759E-3</v>
      </c>
      <c r="C94" s="5">
        <v>1.700184E-3</v>
      </c>
      <c r="D94" s="5">
        <v>3.4015400000000002E-3</v>
      </c>
      <c r="E94" s="5">
        <v>6.5933750000000003E-4</v>
      </c>
      <c r="F94" s="5">
        <v>1.6408449999999999E-3</v>
      </c>
      <c r="G94" s="5">
        <v>5.4718870000000001E-4</v>
      </c>
      <c r="H94" s="5">
        <v>6.9686470000000002E-5</v>
      </c>
      <c r="I94" s="5">
        <v>6.1589160000000004E-3</v>
      </c>
      <c r="J94" s="5">
        <v>2.3011149999999998E-3</v>
      </c>
      <c r="K94" s="5">
        <v>2.959054E-3</v>
      </c>
      <c r="L94" s="5">
        <v>8.3256129999999999E-4</v>
      </c>
      <c r="M94" s="5">
        <v>1.2858119999999999E-3</v>
      </c>
      <c r="N94" s="5">
        <v>2.2786310000000001E-3</v>
      </c>
      <c r="O94" s="5">
        <v>2.1412890000000002E-3</v>
      </c>
      <c r="P94" s="5">
        <v>2.371438E-3</v>
      </c>
      <c r="Q94" s="5">
        <v>1.8093370000000001E-3</v>
      </c>
      <c r="R94" s="5">
        <v>2.7248039999999999E-4</v>
      </c>
      <c r="S94" s="5">
        <v>2.0127790000000001E-3</v>
      </c>
    </row>
    <row r="95" spans="1:19" x14ac:dyDescent="0.35">
      <c r="A95" s="3">
        <v>3456.777</v>
      </c>
      <c r="B95" s="5">
        <v>1.374253E-3</v>
      </c>
      <c r="C95" s="5">
        <v>1.692933E-3</v>
      </c>
      <c r="D95" s="5">
        <v>3.3970990000000002E-3</v>
      </c>
      <c r="E95" s="5">
        <v>6.6338599999999997E-4</v>
      </c>
      <c r="F95" s="5">
        <v>1.6322979999999999E-3</v>
      </c>
      <c r="G95" s="5">
        <v>5.4091860000000003E-4</v>
      </c>
      <c r="H95" s="5">
        <v>7.7971400000000004E-5</v>
      </c>
      <c r="I95" s="5">
        <v>6.1508839999999997E-3</v>
      </c>
      <c r="J95" s="5">
        <v>2.2906889999999998E-3</v>
      </c>
      <c r="K95" s="5">
        <v>2.960388E-3</v>
      </c>
      <c r="L95" s="5">
        <v>8.2084270000000003E-4</v>
      </c>
      <c r="M95" s="5">
        <v>1.2877399999999999E-3</v>
      </c>
      <c r="N95" s="5">
        <v>2.2707040000000001E-3</v>
      </c>
      <c r="O95" s="5">
        <v>2.1375930000000001E-3</v>
      </c>
      <c r="P95" s="5">
        <v>2.3713710000000002E-3</v>
      </c>
      <c r="Q95" s="5">
        <v>1.8129299999999999E-3</v>
      </c>
      <c r="R95" s="5">
        <v>2.6356179999999999E-4</v>
      </c>
      <c r="S95" s="5">
        <v>2.0178050000000001E-3</v>
      </c>
    </row>
    <row r="96" spans="1:19" x14ac:dyDescent="0.35">
      <c r="A96" s="3">
        <v>3457.259</v>
      </c>
      <c r="B96" s="5">
        <v>1.3633499999999999E-3</v>
      </c>
      <c r="C96" s="5">
        <v>1.685548E-3</v>
      </c>
      <c r="D96" s="5">
        <v>3.391856E-3</v>
      </c>
      <c r="E96" s="5">
        <v>6.6398330000000004E-4</v>
      </c>
      <c r="F96" s="5">
        <v>1.6247480000000001E-3</v>
      </c>
      <c r="G96" s="5">
        <v>5.3514610000000005E-4</v>
      </c>
      <c r="H96" s="5">
        <v>8.5792500000000002E-5</v>
      </c>
      <c r="I96" s="5">
        <v>6.1474219999999996E-3</v>
      </c>
      <c r="J96" s="5">
        <v>2.275567E-3</v>
      </c>
      <c r="K96" s="5">
        <v>2.9609889999999998E-3</v>
      </c>
      <c r="L96" s="5">
        <v>8.1111620000000003E-4</v>
      </c>
      <c r="M96" s="5">
        <v>1.290399E-3</v>
      </c>
      <c r="N96" s="5">
        <v>2.262277E-3</v>
      </c>
      <c r="O96" s="5">
        <v>2.131366E-3</v>
      </c>
      <c r="P96" s="5">
        <v>2.3687389999999999E-3</v>
      </c>
      <c r="Q96" s="5">
        <v>1.821315E-3</v>
      </c>
      <c r="R96" s="5">
        <v>2.5388089999999998E-4</v>
      </c>
      <c r="S96" s="5">
        <v>2.0225989999999999E-3</v>
      </c>
    </row>
    <row r="97" spans="1:19" x14ac:dyDescent="0.35">
      <c r="A97" s="3">
        <v>3457.741</v>
      </c>
      <c r="B97" s="5">
        <v>1.351451E-3</v>
      </c>
      <c r="C97" s="5">
        <v>1.679062E-3</v>
      </c>
      <c r="D97" s="5">
        <v>3.3878150000000002E-3</v>
      </c>
      <c r="E97" s="5">
        <v>6.6219140000000004E-4</v>
      </c>
      <c r="F97" s="5">
        <v>1.6198919999999999E-3</v>
      </c>
      <c r="G97" s="5">
        <v>5.303358E-4</v>
      </c>
      <c r="H97" s="5">
        <v>9.1824130000000003E-5</v>
      </c>
      <c r="I97" s="5">
        <v>6.147993E-3</v>
      </c>
      <c r="J97" s="5">
        <v>2.2578469999999999E-3</v>
      </c>
      <c r="K97" s="5">
        <v>2.9611220000000001E-3</v>
      </c>
      <c r="L97" s="5">
        <v>8.0464299999999996E-4</v>
      </c>
      <c r="M97" s="5">
        <v>1.2932569999999999E-3</v>
      </c>
      <c r="N97" s="5">
        <v>2.2545830000000001E-3</v>
      </c>
      <c r="O97" s="5">
        <v>2.1225760000000002E-3</v>
      </c>
      <c r="P97" s="5">
        <v>2.3630090000000001E-3</v>
      </c>
      <c r="Q97" s="5">
        <v>1.8328940000000001E-3</v>
      </c>
      <c r="R97" s="5">
        <v>2.4436599999999998E-4</v>
      </c>
      <c r="S97" s="5">
        <v>2.0259280000000002E-3</v>
      </c>
    </row>
    <row r="98" spans="1:19" x14ac:dyDescent="0.35">
      <c r="A98" s="3">
        <v>3458.223</v>
      </c>
      <c r="B98" s="5">
        <v>1.3394189999999999E-3</v>
      </c>
      <c r="C98" s="5">
        <v>1.674505E-3</v>
      </c>
      <c r="D98" s="5">
        <v>3.3862459999999999E-3</v>
      </c>
      <c r="E98" s="5">
        <v>6.5937069999999996E-4</v>
      </c>
      <c r="F98" s="5">
        <v>1.618495E-3</v>
      </c>
      <c r="G98" s="5">
        <v>5.2675300000000003E-4</v>
      </c>
      <c r="H98" s="5">
        <v>9.4972539999999995E-5</v>
      </c>
      <c r="I98" s="5">
        <v>6.1512199999999998E-3</v>
      </c>
      <c r="J98" s="5">
        <v>2.2403950000000001E-3</v>
      </c>
      <c r="K98" s="5">
        <v>2.960421E-3</v>
      </c>
      <c r="L98" s="5">
        <v>8.0208700000000005E-4</v>
      </c>
      <c r="M98" s="5">
        <v>1.2952840000000001E-3</v>
      </c>
      <c r="N98" s="5">
        <v>2.248721E-3</v>
      </c>
      <c r="O98" s="5">
        <v>2.112021E-3</v>
      </c>
      <c r="P98" s="5">
        <v>2.3548470000000002E-3</v>
      </c>
      <c r="Q98" s="5">
        <v>1.8453390000000001E-3</v>
      </c>
      <c r="R98" s="5">
        <v>2.3577949999999999E-4</v>
      </c>
      <c r="S98" s="5">
        <v>2.0269260000000001E-3</v>
      </c>
    </row>
    <row r="99" spans="1:19" x14ac:dyDescent="0.35">
      <c r="A99" s="3">
        <v>3458.7049999999999</v>
      </c>
      <c r="B99" s="5">
        <v>1.3283520000000001E-3</v>
      </c>
      <c r="C99" s="5">
        <v>1.6722429999999999E-3</v>
      </c>
      <c r="D99" s="5">
        <v>3.387915E-3</v>
      </c>
      <c r="E99" s="5">
        <v>6.5595270000000003E-4</v>
      </c>
      <c r="F99" s="5">
        <v>1.61926E-3</v>
      </c>
      <c r="G99" s="5">
        <v>5.2443080000000005E-4</v>
      </c>
      <c r="H99" s="5">
        <v>9.4839980000000005E-5</v>
      </c>
      <c r="I99" s="5">
        <v>6.1557570000000004E-3</v>
      </c>
      <c r="J99" s="5">
        <v>2.2256070000000001E-3</v>
      </c>
      <c r="K99" s="5">
        <v>2.959354E-3</v>
      </c>
      <c r="L99" s="5">
        <v>8.037799E-4</v>
      </c>
      <c r="M99" s="5">
        <v>1.295849E-3</v>
      </c>
      <c r="N99" s="5">
        <v>2.2459569999999998E-3</v>
      </c>
      <c r="O99" s="5">
        <v>2.1015000000000001E-3</v>
      </c>
      <c r="P99" s="5">
        <v>2.3459520000000001E-3</v>
      </c>
      <c r="Q99" s="5">
        <v>1.8568860000000001E-3</v>
      </c>
      <c r="R99" s="5">
        <v>2.2944759999999999E-4</v>
      </c>
      <c r="S99" s="5">
        <v>2.0259280000000002E-3</v>
      </c>
    </row>
    <row r="100" spans="1:19" x14ac:dyDescent="0.35">
      <c r="A100" s="3">
        <v>3459.1869999999999</v>
      </c>
      <c r="B100" s="5">
        <v>1.3197110000000001E-3</v>
      </c>
      <c r="C100" s="5">
        <v>1.6722429999999999E-3</v>
      </c>
      <c r="D100" s="5">
        <v>3.39259E-3</v>
      </c>
      <c r="E100" s="5">
        <v>6.5250149999999995E-4</v>
      </c>
      <c r="F100" s="5">
        <v>1.6205569999999999E-3</v>
      </c>
      <c r="G100" s="5">
        <v>5.2263940000000001E-4</v>
      </c>
      <c r="H100" s="5">
        <v>9.1890410000000004E-5</v>
      </c>
      <c r="I100" s="5">
        <v>6.1605619999999996E-3</v>
      </c>
      <c r="J100" s="5">
        <v>2.2154829999999999E-3</v>
      </c>
      <c r="K100" s="5">
        <v>2.9582860000000001E-3</v>
      </c>
      <c r="L100" s="5">
        <v>8.0968879999999998E-4</v>
      </c>
      <c r="M100" s="5">
        <v>1.2938209999999999E-3</v>
      </c>
      <c r="N100" s="5">
        <v>2.2470559999999999E-3</v>
      </c>
      <c r="O100" s="5">
        <v>2.093143E-3</v>
      </c>
      <c r="P100" s="5">
        <v>2.3387899999999999E-3</v>
      </c>
      <c r="Q100" s="5">
        <v>1.866103E-3</v>
      </c>
      <c r="R100" s="5">
        <v>2.26033E-4</v>
      </c>
      <c r="S100" s="5">
        <v>2.0241299999999999E-3</v>
      </c>
    </row>
    <row r="101" spans="1:19" x14ac:dyDescent="0.35">
      <c r="A101" s="3">
        <v>3459.6689999999999</v>
      </c>
      <c r="B101" s="5">
        <v>1.3155230000000001E-3</v>
      </c>
      <c r="C101" s="5">
        <v>1.67384E-3</v>
      </c>
      <c r="D101" s="5">
        <v>3.3994030000000001E-3</v>
      </c>
      <c r="E101" s="5">
        <v>6.4885129999999998E-4</v>
      </c>
      <c r="F101" s="5">
        <v>1.619959E-3</v>
      </c>
      <c r="G101" s="5">
        <v>5.2081480000000003E-4</v>
      </c>
      <c r="H101" s="5">
        <v>8.77478E-5</v>
      </c>
      <c r="I101" s="5">
        <v>6.1658049999999999E-3</v>
      </c>
      <c r="J101" s="5">
        <v>2.2106869999999998E-3</v>
      </c>
      <c r="K101" s="5">
        <v>2.957819E-3</v>
      </c>
      <c r="L101" s="5">
        <v>8.1941529999999998E-4</v>
      </c>
      <c r="M101" s="5">
        <v>1.2888369999999999E-3</v>
      </c>
      <c r="N101" s="5">
        <v>2.2522850000000001E-3</v>
      </c>
      <c r="O101" s="5">
        <v>2.0883490000000002E-3</v>
      </c>
      <c r="P101" s="5">
        <v>2.335859E-3</v>
      </c>
      <c r="Q101" s="5">
        <v>1.872526E-3</v>
      </c>
      <c r="R101" s="5">
        <v>2.2633129999999999E-4</v>
      </c>
      <c r="S101" s="5">
        <v>2.022832E-3</v>
      </c>
    </row>
    <row r="102" spans="1:19" x14ac:dyDescent="0.35">
      <c r="A102" s="3">
        <v>3460.1509999999998</v>
      </c>
      <c r="B102" s="5">
        <v>1.316886E-3</v>
      </c>
      <c r="C102" s="5">
        <v>1.676601E-3</v>
      </c>
      <c r="D102" s="5">
        <v>3.406783E-3</v>
      </c>
      <c r="E102" s="5">
        <v>6.4490249999999999E-4</v>
      </c>
      <c r="F102" s="5">
        <v>1.6163340000000001E-3</v>
      </c>
      <c r="G102" s="5">
        <v>5.1879119999999996E-4</v>
      </c>
      <c r="H102" s="5">
        <v>8.416861E-5</v>
      </c>
      <c r="I102" s="5">
        <v>6.1718210000000001E-3</v>
      </c>
      <c r="J102" s="5">
        <v>2.2108869999999999E-3</v>
      </c>
      <c r="K102" s="5">
        <v>2.9586870000000002E-3</v>
      </c>
      <c r="L102" s="5">
        <v>8.3242850000000003E-4</v>
      </c>
      <c r="M102" s="5">
        <v>1.2809270000000001E-3</v>
      </c>
      <c r="N102" s="5">
        <v>2.260878E-3</v>
      </c>
      <c r="O102" s="5">
        <v>2.0874499999999998E-3</v>
      </c>
      <c r="P102" s="5">
        <v>2.3388570000000002E-3</v>
      </c>
      <c r="Q102" s="5">
        <v>1.8764859999999999E-3</v>
      </c>
      <c r="R102" s="5">
        <v>2.301769E-4</v>
      </c>
      <c r="S102" s="5">
        <v>2.022865E-3</v>
      </c>
    </row>
    <row r="103" spans="1:19" x14ac:dyDescent="0.35">
      <c r="A103" s="3">
        <v>3460.634</v>
      </c>
      <c r="B103" s="5">
        <v>1.3242309999999999E-3</v>
      </c>
      <c r="C103" s="5">
        <v>1.6792949999999999E-3</v>
      </c>
      <c r="D103" s="5">
        <v>3.4134289999999999E-3</v>
      </c>
      <c r="E103" s="5">
        <v>6.4068830000000004E-4</v>
      </c>
      <c r="F103" s="5">
        <v>1.6095160000000001E-3</v>
      </c>
      <c r="G103" s="5">
        <v>5.1630320000000003E-4</v>
      </c>
      <c r="H103" s="5">
        <v>8.2379029999999994E-5</v>
      </c>
      <c r="I103" s="5">
        <v>6.1787109999999999E-3</v>
      </c>
      <c r="J103" s="5">
        <v>2.215416E-3</v>
      </c>
      <c r="K103" s="5">
        <v>2.9608550000000001E-3</v>
      </c>
      <c r="L103" s="5">
        <v>8.4746729999999996E-4</v>
      </c>
      <c r="M103" s="5">
        <v>1.2713570000000001E-3</v>
      </c>
      <c r="N103" s="5">
        <v>2.2716030000000001E-3</v>
      </c>
      <c r="O103" s="5">
        <v>2.0895140000000002E-3</v>
      </c>
      <c r="P103" s="5">
        <v>2.3479180000000001E-3</v>
      </c>
      <c r="Q103" s="5">
        <v>1.878649E-3</v>
      </c>
      <c r="R103" s="5">
        <v>2.365089E-4</v>
      </c>
      <c r="S103" s="5">
        <v>2.0244960000000002E-3</v>
      </c>
    </row>
    <row r="105" spans="1:19" x14ac:dyDescent="0.35">
      <c r="A105" s="2" t="s">
        <v>67</v>
      </c>
      <c r="B105" s="5">
        <f>AVERAGE(B19:B103)</f>
        <v>1.3483704235294114E-3</v>
      </c>
      <c r="C105" s="5">
        <f t="shared" ref="C105:S105" si="1">AVERAGE(C19:C103)</f>
        <v>1.6820195529411764E-3</v>
      </c>
      <c r="D105" s="5">
        <f t="shared" si="1"/>
        <v>3.3849660000000018E-3</v>
      </c>
      <c r="E105" s="5">
        <f t="shared" si="1"/>
        <v>6.1371262705882358E-4</v>
      </c>
      <c r="F105" s="5">
        <f t="shared" si="1"/>
        <v>1.5937108823529415E-3</v>
      </c>
      <c r="G105" s="5">
        <f t="shared" si="1"/>
        <v>5.418000952941177E-4</v>
      </c>
      <c r="H105" s="5">
        <f t="shared" si="1"/>
        <v>2.4793755161176468E-5</v>
      </c>
      <c r="I105" s="5">
        <f t="shared" si="1"/>
        <v>6.1572300470588244E-3</v>
      </c>
      <c r="J105" s="5">
        <f t="shared" si="1"/>
        <v>2.2727569764705875E-3</v>
      </c>
      <c r="K105" s="5">
        <f t="shared" si="1"/>
        <v>2.9517346352941174E-3</v>
      </c>
      <c r="L105" s="5">
        <f t="shared" si="1"/>
        <v>8.7734002470588274E-4</v>
      </c>
      <c r="M105" s="5">
        <f t="shared" si="1"/>
        <v>1.2884639647058823E-3</v>
      </c>
      <c r="N105" s="5">
        <f t="shared" si="1"/>
        <v>2.2717806470588238E-3</v>
      </c>
      <c r="O105" s="5">
        <f t="shared" si="1"/>
        <v>2.1334667411764688E-3</v>
      </c>
      <c r="P105" s="5">
        <f t="shared" si="1"/>
        <v>2.3690783647058824E-3</v>
      </c>
      <c r="Q105" s="5">
        <f t="shared" si="1"/>
        <v>1.8389160235294116E-3</v>
      </c>
      <c r="R105" s="5">
        <f t="shared" si="1"/>
        <v>2.8556409411764709E-4</v>
      </c>
      <c r="S105" s="5">
        <f t="shared" si="1"/>
        <v>2.0041284941176483E-3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14</vt:i4>
      </vt:variant>
    </vt:vector>
  </HeadingPairs>
  <TitlesOfParts>
    <vt:vector size="16" baseType="lpstr">
      <vt:lpstr>data</vt:lpstr>
      <vt:lpstr>data (Allison)</vt:lpstr>
      <vt:lpstr>Chart1</vt:lpstr>
      <vt:lpstr>Chart2-ver1</vt:lpstr>
      <vt:lpstr>Chart2-ver2</vt:lpstr>
      <vt:lpstr>Chart2-ver2b</vt:lpstr>
      <vt:lpstr>Chart2-ver2c</vt:lpstr>
      <vt:lpstr>Chart2-ver2d</vt:lpstr>
      <vt:lpstr>Chart2-ver2e</vt:lpstr>
      <vt:lpstr>Chart3-ver1</vt:lpstr>
      <vt:lpstr>Chart3-ver2</vt:lpstr>
      <vt:lpstr>Chart3-ver3</vt:lpstr>
      <vt:lpstr>Chart4</vt:lpstr>
      <vt:lpstr>Chart5-ver1</vt:lpstr>
      <vt:lpstr>Chart5-ver2</vt:lpstr>
      <vt:lpstr>Chart5-ver3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Milosevic</dc:creator>
  <cp:lastModifiedBy>allison sargent</cp:lastModifiedBy>
  <dcterms:created xsi:type="dcterms:W3CDTF">2025-06-15T13:39:52Z</dcterms:created>
  <dcterms:modified xsi:type="dcterms:W3CDTF">2026-03-27T17:37:26Z</dcterms:modified>
</cp:coreProperties>
</file>